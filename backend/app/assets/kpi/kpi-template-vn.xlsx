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19410" windowHeight="7710" tabRatio="600" firstSheet="1" activeTab="8" autoFilterDateGrouping="1"/>
  </bookViews>
  <sheets>
    <sheet name="KPI Operator Demo" sheetId="1" state="visible" r:id="rId1"/>
    <sheet name="KPI QA Demo " sheetId="2" state="visible" r:id="rId2"/>
    <sheet name="KPI Lead Developer Demo" sheetId="3" state="visible" r:id="rId3"/>
    <sheet name="KPI Developer Demo" sheetId="4" state="visible" r:id="rId4"/>
    <sheet name="QA_tiêu chí A_full " sheetId="5" state="visible" r:id="rId5"/>
    <sheet name="Operator_tiêu chí A_full" sheetId="6" state="visible" r:id="rId6"/>
    <sheet name="Developer_tiêu chí A_full" sheetId="7" state="visible" r:id="rId7"/>
    <sheet name="Trang_tính1" sheetId="8" state="hidden" r:id="rId8"/>
    <sheet name="Bảng tiêu chí B,C" sheetId="9" state="visible" r:id="rId9"/>
    <sheet name="Kế hoạch Developer" sheetId="10" state="visible" r:id="rId10"/>
  </sheets>
  <definedNames/>
  <calcPr calcId="191029" fullCalcOnLoad="1"/>
</workbook>
</file>

<file path=xl/styles.xml><?xml version="1.0" encoding="utf-8"?>
<styleSheet xmlns="http://schemas.openxmlformats.org/spreadsheetml/2006/main">
  <numFmts count="5">
    <numFmt numFmtId="164" formatCode="yyyy\-mm\-dd"/>
    <numFmt numFmtId="165" formatCode="0.0%"/>
    <numFmt numFmtId="166" formatCode="0.0"/>
    <numFmt numFmtId="167" formatCode="_ * #,##0.00_ ;_ * \-#,##0.00_ ;_ * &quot;-&quot;??_ ;_ @_ "/>
    <numFmt numFmtId="168" formatCode="_ * #,##0_ ;_ * \-#,##0_ ;_ * &quot;-&quot;_ ;_ @_ "/>
  </numFmts>
  <fonts count="79">
    <font>
      <name val="Calibri"/>
      <charset val="134"/>
      <color theme="1"/>
      <sz val="11"/>
      <scheme val="minor"/>
    </font>
    <font>
      <name val="Calibri"/>
      <charset val="134"/>
      <b val="1"/>
      <sz val="11"/>
      <scheme val="minor"/>
    </font>
    <font>
      <name val="Consolas"/>
      <charset val="134"/>
      <color rgb="FFCCCCCC"/>
      <sz val="10.8"/>
    </font>
    <font>
      <name val="Times New Roman"/>
      <charset val="134"/>
      <color rgb="FFFF0000"/>
      <sz val="12"/>
    </font>
    <font>
      <name val="Times New Roman"/>
      <charset val="134"/>
      <b val="1"/>
      <color theme="1"/>
      <sz val="12"/>
    </font>
    <font>
      <name val="Times New Roman"/>
      <charset val="134"/>
      <color theme="1"/>
      <sz val="12"/>
    </font>
    <font>
      <name val="Times New Roman"/>
      <charset val="134"/>
      <color theme="1"/>
      <sz val="11"/>
    </font>
    <font>
      <name val="Times New Roman"/>
      <charset val="134"/>
      <b val="1"/>
      <color rgb="FFFF0000"/>
      <sz val="12"/>
    </font>
    <font>
      <name val="Times New Roman"/>
      <charset val="134"/>
      <color rgb="FF000000"/>
      <sz val="12"/>
    </font>
    <font>
      <name val="Times New Roman"/>
      <charset val="134"/>
      <b val="1"/>
      <color theme="0"/>
      <sz val="11"/>
    </font>
    <font>
      <name val="Times New Roman"/>
      <charset val="134"/>
      <b val="1"/>
      <color theme="1"/>
      <sz val="14"/>
    </font>
    <font>
      <name val="Times New Roman"/>
      <charset val="134"/>
      <b val="1"/>
      <color theme="1"/>
      <sz val="11"/>
    </font>
    <font>
      <name val="Times New Roman"/>
      <charset val="134"/>
      <b val="1"/>
      <i val="1"/>
      <color theme="1"/>
      <sz val="11"/>
    </font>
    <font>
      <name val="Calibri"/>
      <charset val="134"/>
      <b val="1"/>
      <color theme="1"/>
      <sz val="14"/>
      <scheme val="minor"/>
    </font>
    <font>
      <name val="Calibri"/>
      <charset val="134"/>
      <color theme="1"/>
      <sz val="14"/>
      <scheme val="minor"/>
    </font>
    <font>
      <name val="Calibri"/>
      <charset val="134"/>
      <b val="1"/>
      <color theme="1"/>
      <sz val="16"/>
      <scheme val="minor"/>
    </font>
    <font>
      <name val="Calibri"/>
      <charset val="134"/>
      <b val="1"/>
      <color theme="1"/>
      <sz val="11"/>
      <scheme val="minor"/>
    </font>
    <font>
      <name val="??"/>
      <charset val="1"/>
      <b val="1"/>
      <color rgb="FF222222"/>
      <sz val="12"/>
    </font>
    <font>
      <name val="??"/>
      <charset val="1"/>
      <color rgb="FF222222"/>
      <sz val="12"/>
    </font>
    <font>
      <name val="Calibri"/>
      <charset val="134"/>
      <color rgb="FF000000"/>
      <sz val="11"/>
      <scheme val="minor"/>
    </font>
    <font>
      <name val="Calibri"/>
      <charset val="134"/>
      <b val="1"/>
      <color rgb="FF000000"/>
      <sz val="11"/>
      <scheme val="minor"/>
    </font>
    <font>
      <name val="Times New Roman"/>
      <charset val="134"/>
      <color theme="1"/>
      <sz val="12"/>
    </font>
    <font>
      <name val="Times New Roman"/>
      <charset val="134"/>
      <b val="1"/>
      <color theme="1"/>
      <sz val="12"/>
    </font>
    <font>
      <name val="Times New Roman"/>
      <charset val="134"/>
      <b val="1"/>
      <color rgb="FF000000"/>
      <sz val="12"/>
    </font>
    <font>
      <name val="Times New Roman"/>
      <charset val="134"/>
      <b val="1"/>
      <color rgb="FF222222"/>
      <sz val="12"/>
    </font>
    <font>
      <name val="Times New Roman"/>
      <charset val="134"/>
      <color rgb="FF222222"/>
      <sz val="12"/>
    </font>
    <font>
      <name val="Times New Roman"/>
      <charset val="134"/>
      <color rgb="FF000000"/>
      <sz val="12"/>
    </font>
    <font>
      <name val="Times New Roman"/>
      <charset val="134"/>
      <color theme="1"/>
      <sz val="11"/>
    </font>
    <font>
      <name val="Times New Roman"/>
      <charset val="134"/>
      <b val="1"/>
      <color theme="0"/>
      <sz val="12"/>
    </font>
    <font>
      <name val="Times New Roman"/>
      <charset val="134"/>
      <b val="1"/>
      <sz val="12"/>
    </font>
    <font>
      <name val="Times New Roman"/>
      <charset val="134"/>
      <b val="1"/>
      <color rgb="FF222222"/>
      <sz val="12"/>
    </font>
    <font>
      <name val="Times New Roman"/>
      <charset val="134"/>
      <color rgb="FF222222"/>
      <sz val="12"/>
    </font>
    <font>
      <name val="Times New Roman"/>
      <charset val="134"/>
      <b val="1"/>
      <color rgb="FF000000"/>
      <sz val="12"/>
    </font>
    <font>
      <name val="Times New Roman"/>
      <charset val="134"/>
      <b val="1"/>
      <sz val="11"/>
    </font>
    <font>
      <name val="Times New Roman"/>
      <charset val="163"/>
      <b val="1"/>
      <color theme="0"/>
      <sz val="11"/>
    </font>
    <font>
      <name val="Times New Roman"/>
      <charset val="163"/>
      <b val="1"/>
      <color rgb="FFFF0000"/>
      <sz val="11"/>
    </font>
    <font>
      <name val="Calibri"/>
      <charset val="134"/>
      <color theme="1"/>
      <sz val="11"/>
      <scheme val="minor"/>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Calibri"/>
      <charset val="134"/>
      <color theme="10"/>
      <sz val="11"/>
      <u val="single"/>
      <scheme val="minor"/>
    </font>
    <font>
      <b val="1"/>
    </font>
    <font>
      <name val="Times New Roman"/>
      <family val="1"/>
      <b val="1"/>
      <color theme="0"/>
      <sz val="12"/>
    </font>
    <font>
      <name val="Calibri"/>
      <family val="2"/>
      <color theme="1"/>
      <sz val="11"/>
      <scheme val="minor"/>
    </font>
    <font>
      <name val="Times New Roman"/>
      <family val="1"/>
      <b val="1"/>
      <sz val="12"/>
    </font>
    <font>
      <name val="Times New Roman"/>
      <family val="1"/>
      <b val="1"/>
      <color theme="1"/>
      <sz val="12"/>
    </font>
    <font>
      <name val="Times New Roman"/>
      <family val="1"/>
      <b val="1"/>
      <color rgb="FF222222"/>
      <sz val="12"/>
    </font>
    <font>
      <name val="Times New Roman"/>
      <family val="1"/>
      <color theme="1"/>
      <sz val="12"/>
    </font>
    <font>
      <name val="Times New Roman"/>
      <family val="1"/>
      <b val="1"/>
      <color rgb="FFFF0000"/>
      <sz val="12"/>
    </font>
    <font>
      <name val="Times New Roman"/>
      <family val="1"/>
      <color rgb="FF222222"/>
      <sz val="12"/>
    </font>
    <font>
      <name val="Times New Roman"/>
      <family val="1"/>
      <b val="1"/>
      <color rgb="FF000000"/>
      <sz val="12"/>
    </font>
    <font>
      <name val="Times New Roman"/>
      <color rgb="FF000000"/>
      <sz val="12"/>
    </font>
    <font>
      <name val="Times New Roman"/>
      <family val="1"/>
      <b val="1"/>
      <color theme="0"/>
      <sz val="11"/>
    </font>
    <font>
      <name val="Times New Roman"/>
      <family val="1"/>
      <b val="1"/>
      <sz val="11"/>
    </font>
    <font>
      <name val="Times New Roman"/>
      <family val="1"/>
      <color theme="1"/>
      <sz val="11"/>
    </font>
    <font>
      <name val="Times New Roman"/>
      <charset val="163"/>
      <family val="1"/>
      <b val="1"/>
      <color theme="0"/>
      <sz val="11"/>
    </font>
    <font>
      <name val="Times New Roman"/>
      <charset val="163"/>
      <family val="1"/>
      <b val="1"/>
      <color rgb="FFFF0000"/>
      <sz val="11"/>
    </font>
    <font>
      <name val="Calibri"/>
      <family val="2"/>
      <b val="1"/>
      <color theme="1"/>
      <sz val="14"/>
      <scheme val="minor"/>
    </font>
    <font>
      <name val="Calibri"/>
      <family val="2"/>
      <color theme="1"/>
      <sz val="14"/>
      <scheme val="minor"/>
    </font>
    <font>
      <name val="Calibri"/>
      <family val="2"/>
      <b val="1"/>
      <color theme="1"/>
      <sz val="16"/>
      <scheme val="minor"/>
    </font>
    <font>
      <name val="Calibri"/>
      <family val="2"/>
      <b val="1"/>
      <color theme="1"/>
      <sz val="11"/>
      <scheme val="minor"/>
    </font>
    <font>
      <name val="Calibri"/>
      <color rgb="FF000000"/>
      <sz val="11"/>
      <scheme val="minor"/>
    </font>
    <font>
      <name val="Calibri"/>
      <family val="2"/>
      <b val="1"/>
      <color rgb="FF000000"/>
      <sz val="11"/>
      <scheme val="minor"/>
    </font>
  </fonts>
  <fills count="45">
    <fill>
      <patternFill/>
    </fill>
    <fill>
      <patternFill patternType="gray125"/>
    </fill>
    <fill>
      <patternFill patternType="solid">
        <fgColor rgb="FFC00000"/>
        <bgColor indexed="64"/>
      </patternFill>
    </fill>
    <fill>
      <patternFill patternType="solid">
        <fgColor theme="0"/>
        <bgColor indexed="64"/>
      </patternFill>
    </fill>
    <fill>
      <patternFill patternType="solid">
        <fgColor theme="4" tint="-0.249977111117893"/>
        <bgColor indexed="64"/>
      </patternFill>
    </fill>
    <fill>
      <patternFill patternType="solid">
        <fgColor rgb="FF00B0F0"/>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2" tint="-0.09997863704336681"/>
        <bgColor indexed="64"/>
      </patternFill>
    </fill>
    <fill>
      <patternFill patternType="solid">
        <fgColor theme="7"/>
        <bgColor indexed="64"/>
      </patternFill>
    </fill>
    <fill>
      <patternFill patternType="solid">
        <fgColor rgb="FFFFC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theme="8" tint="0.3999755851924192"/>
        <bgColor indexed="64"/>
      </patternFill>
    </fill>
    <fill>
      <patternFill patternType="solid">
        <fgColor theme="7" tint="0.7999816888943144"/>
        <bgColor indexed="64"/>
      </patternFill>
    </fill>
  </fills>
  <borders count="51">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auto="1"/>
      </left>
      <right/>
      <top style="thin">
        <color auto="1"/>
      </top>
      <bottom/>
      <diagonal/>
    </border>
    <border>
      <left style="thin">
        <color rgb="FF000000"/>
      </left>
      <right/>
      <top/>
      <bottom style="thin">
        <color auto="1"/>
      </bottom>
      <diagonal/>
    </border>
    <border>
      <left/>
      <right/>
      <top style="thin">
        <color rgb="FF000000"/>
      </top>
      <bottom style="thin">
        <color rgb="FF000000"/>
      </bottom>
      <diagonal/>
    </border>
    <border>
      <left style="thin">
        <color auto="1"/>
      </left>
      <right/>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right style="thin">
        <color rgb="FF000000"/>
      </right>
      <top/>
      <bottom style="thin">
        <color rgb="FF000000"/>
      </bottom>
      <diagonal/>
    </border>
    <border>
      <left/>
      <right style="thin">
        <color rgb="FF000000"/>
      </right>
      <top/>
      <bottom/>
      <diagonal/>
    </border>
    <border>
      <left style="thin">
        <color auto="1"/>
      </left>
      <right/>
      <top style="thin">
        <color auto="1"/>
      </top>
      <bottom style="thin">
        <color auto="1"/>
      </bottom>
      <diagonal/>
    </border>
    <border>
      <left/>
      <right/>
      <top style="thin">
        <color rgb="FF000000"/>
      </top>
      <bottom/>
      <diagonal/>
    </border>
    <border>
      <left/>
      <right/>
      <top/>
      <bottom style="thin">
        <color auto="1"/>
      </bottom>
      <diagonal/>
    </border>
    <border>
      <left style="thin">
        <color auto="1"/>
      </left>
      <right/>
      <top/>
      <bottom/>
      <diagonal/>
    </border>
    <border>
      <left style="thin">
        <color rgb="FF000000"/>
      </left>
      <right style="thin">
        <color rgb="FF000000"/>
      </right>
      <top/>
      <bottom/>
      <diagonal/>
    </border>
    <border>
      <left/>
      <right/>
      <top style="thin">
        <color auto="1"/>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style="thin">
        <color rgb="FF000000"/>
      </left>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thin">
        <color indexed="64"/>
      </bottom>
      <diagonal/>
    </border>
    <border>
      <left/>
      <right/>
      <top/>
      <bottom style="thin">
        <color indexed="64"/>
      </bottom>
      <diagonal/>
    </border>
    <border>
      <left style="thin">
        <color indexed="64"/>
      </left>
      <right/>
      <top/>
      <bottom/>
      <diagonal/>
    </border>
    <border>
      <left/>
      <right/>
      <top style="thin">
        <color indexed="64"/>
      </top>
      <bottom style="thin">
        <color indexed="64"/>
      </bottom>
      <diagonal/>
    </border>
    <border>
      <left/>
      <right/>
      <top style="thin">
        <color indexed="64"/>
      </top>
      <bottom style="thin">
        <color rgb="FF000000"/>
      </bottom>
      <diagonal/>
    </border>
  </borders>
  <cellStyleXfs count="50">
    <xf numFmtId="0" fontId="36" fillId="0" borderId="0"/>
    <xf numFmtId="167" fontId="36" fillId="0" borderId="0" applyAlignment="1">
      <alignment vertical="center"/>
    </xf>
    <xf numFmtId="44" fontId="36" fillId="0" borderId="0" applyAlignment="1">
      <alignment vertical="center"/>
    </xf>
    <xf numFmtId="9" fontId="36" fillId="0" borderId="0"/>
    <xf numFmtId="168" fontId="36" fillId="0" borderId="0" applyAlignment="1">
      <alignment vertical="center"/>
    </xf>
    <xf numFmtId="42" fontId="36" fillId="0" borderId="0" applyAlignment="1">
      <alignment vertical="center"/>
    </xf>
    <xf numFmtId="0" fontId="37" fillId="0" borderId="0" applyAlignment="1">
      <alignment vertical="center"/>
    </xf>
    <xf numFmtId="0" fontId="38" fillId="0" borderId="0" applyAlignment="1">
      <alignment vertical="center"/>
    </xf>
    <xf numFmtId="0" fontId="36" fillId="12" borderId="29" applyAlignment="1">
      <alignment vertical="center"/>
    </xf>
    <xf numFmtId="0" fontId="39" fillId="0" borderId="0" applyAlignment="1">
      <alignment vertical="center"/>
    </xf>
    <xf numFmtId="0" fontId="40" fillId="0" borderId="0" applyAlignment="1">
      <alignment vertical="center"/>
    </xf>
    <xf numFmtId="0" fontId="41" fillId="0" borderId="0" applyAlignment="1">
      <alignment vertical="center"/>
    </xf>
    <xf numFmtId="0" fontId="42" fillId="0" borderId="30" applyAlignment="1">
      <alignment vertical="center"/>
    </xf>
    <xf numFmtId="0" fontId="43" fillId="0" borderId="30" applyAlignment="1">
      <alignment vertical="center"/>
    </xf>
    <xf numFmtId="0" fontId="44" fillId="0" borderId="31" applyAlignment="1">
      <alignment vertical="center"/>
    </xf>
    <xf numFmtId="0" fontId="44" fillId="0" borderId="0" applyAlignment="1">
      <alignment vertical="center"/>
    </xf>
    <xf numFmtId="0" fontId="45" fillId="13" borderId="32" applyAlignment="1">
      <alignment vertical="center"/>
    </xf>
    <xf numFmtId="0" fontId="46" fillId="14" borderId="33" applyAlignment="1">
      <alignment vertical="center"/>
    </xf>
    <xf numFmtId="0" fontId="47" fillId="14" borderId="32" applyAlignment="1">
      <alignment vertical="center"/>
    </xf>
    <xf numFmtId="0" fontId="48" fillId="15" borderId="34" applyAlignment="1">
      <alignment vertical="center"/>
    </xf>
    <xf numFmtId="0" fontId="49" fillId="0" borderId="35" applyAlignment="1">
      <alignment vertical="center"/>
    </xf>
    <xf numFmtId="0" fontId="50" fillId="0" borderId="36" applyAlignment="1">
      <alignment vertical="center"/>
    </xf>
    <xf numFmtId="0" fontId="51" fillId="16" borderId="0" applyAlignment="1">
      <alignment vertical="center"/>
    </xf>
    <xf numFmtId="0" fontId="52" fillId="17" borderId="0" applyAlignment="1">
      <alignment vertical="center"/>
    </xf>
    <xf numFmtId="0" fontId="53" fillId="18" borderId="0" applyAlignment="1">
      <alignment vertical="center"/>
    </xf>
    <xf numFmtId="0" fontId="54" fillId="19" borderId="0" applyAlignment="1">
      <alignment vertical="center"/>
    </xf>
    <xf numFmtId="0" fontId="55" fillId="20" borderId="0" applyAlignment="1">
      <alignment vertical="center"/>
    </xf>
    <xf numFmtId="0" fontId="55" fillId="21" borderId="0" applyAlignment="1">
      <alignment vertical="center"/>
    </xf>
    <xf numFmtId="0" fontId="54" fillId="22" borderId="0" applyAlignment="1">
      <alignment vertical="center"/>
    </xf>
    <xf numFmtId="0" fontId="54" fillId="23" borderId="0" applyAlignment="1">
      <alignment vertical="center"/>
    </xf>
    <xf numFmtId="0" fontId="55" fillId="24" borderId="0" applyAlignment="1">
      <alignment vertical="center"/>
    </xf>
    <xf numFmtId="0" fontId="55" fillId="25" borderId="0" applyAlignment="1">
      <alignment vertical="center"/>
    </xf>
    <xf numFmtId="0" fontId="54" fillId="26" borderId="0" applyAlignment="1">
      <alignment vertical="center"/>
    </xf>
    <xf numFmtId="0" fontId="54" fillId="27" borderId="0" applyAlignment="1">
      <alignment vertical="center"/>
    </xf>
    <xf numFmtId="0" fontId="55" fillId="28" borderId="0" applyAlignment="1">
      <alignment vertical="center"/>
    </xf>
    <xf numFmtId="0" fontId="55" fillId="29" borderId="0" applyAlignment="1">
      <alignment vertical="center"/>
    </xf>
    <xf numFmtId="0" fontId="54" fillId="30" borderId="0" applyAlignment="1">
      <alignment vertical="center"/>
    </xf>
    <xf numFmtId="0" fontId="54" fillId="31" borderId="0" applyAlignment="1">
      <alignment vertical="center"/>
    </xf>
    <xf numFmtId="0" fontId="55" fillId="32" borderId="0" applyAlignment="1">
      <alignment vertical="center"/>
    </xf>
    <xf numFmtId="0" fontId="55" fillId="33" borderId="0" applyAlignment="1">
      <alignment vertical="center"/>
    </xf>
    <xf numFmtId="0" fontId="54" fillId="34" borderId="0" applyAlignment="1">
      <alignment vertical="center"/>
    </xf>
    <xf numFmtId="0" fontId="54" fillId="35" borderId="0" applyAlignment="1">
      <alignment vertical="center"/>
    </xf>
    <xf numFmtId="0" fontId="55" fillId="36" borderId="0" applyAlignment="1">
      <alignment vertical="center"/>
    </xf>
    <xf numFmtId="0" fontId="55" fillId="37" borderId="0" applyAlignment="1">
      <alignment vertical="center"/>
    </xf>
    <xf numFmtId="0" fontId="54" fillId="38" borderId="0" applyAlignment="1">
      <alignment vertical="center"/>
    </xf>
    <xf numFmtId="0" fontId="54" fillId="39" borderId="0" applyAlignment="1">
      <alignment vertical="center"/>
    </xf>
    <xf numFmtId="0" fontId="55" fillId="40" borderId="0" applyAlignment="1">
      <alignment vertical="center"/>
    </xf>
    <xf numFmtId="0" fontId="55" fillId="41" borderId="0" applyAlignment="1">
      <alignment vertical="center"/>
    </xf>
    <xf numFmtId="0" fontId="54" fillId="42" borderId="0" applyAlignment="1">
      <alignment vertical="center"/>
    </xf>
    <xf numFmtId="0" fontId="56" fillId="0" borderId="0"/>
  </cellStyleXfs>
  <cellXfs count="468">
    <xf numFmtId="0" fontId="0" fillId="0" borderId="0" pivotButton="0" quotePrefix="0" xfId="0"/>
    <xf numFmtId="0" fontId="1" fillId="0" borderId="0" pivotButton="0" quotePrefix="0" xfId="0"/>
    <xf numFmtId="0" fontId="0" fillId="0" borderId="0" applyAlignment="1" pivotButton="0" quotePrefix="0" xfId="0">
      <alignment wrapText="1"/>
    </xf>
    <xf numFmtId="164" fontId="0" fillId="0" borderId="0" pivotButton="0" quotePrefix="0" xfId="0"/>
    <xf numFmtId="0" fontId="2" fillId="0" borderId="0" applyAlignment="1" pivotButton="0" quotePrefix="0" xfId="0">
      <alignment horizontal="left" wrapText="1" indent="1"/>
    </xf>
    <xf numFmtId="0" fontId="3" fillId="0" borderId="0" pivotButton="0" quotePrefix="0" xfId="0"/>
    <xf numFmtId="0" fontId="4" fillId="0" borderId="0" pivotButton="0" quotePrefix="0" xfId="0"/>
    <xf numFmtId="0" fontId="5" fillId="0" borderId="0" pivotButton="0" quotePrefix="0" xfId="0"/>
    <xf numFmtId="0" fontId="6" fillId="0" borderId="0" applyAlignment="1" pivotButton="0" quotePrefix="0" xfId="0">
      <alignment horizontal="center" vertical="center" wrapText="1"/>
    </xf>
    <xf numFmtId="0" fontId="7" fillId="0" borderId="0" applyAlignment="1" pivotButton="0" quotePrefix="0" xfId="0">
      <alignment horizontal="center"/>
    </xf>
    <xf numFmtId="0" fontId="7" fillId="0" borderId="0" pivotButton="0" quotePrefix="0" xfId="0"/>
    <xf numFmtId="0" fontId="6" fillId="0" borderId="0" applyAlignment="1" pivotButton="0" quotePrefix="0" xfId="0">
      <alignment horizontal="left" vertical="center"/>
    </xf>
    <xf numFmtId="0" fontId="4" fillId="0" borderId="0" applyAlignment="1" pivotButton="0" quotePrefix="0" xfId="0">
      <alignment horizontal="center"/>
    </xf>
    <xf numFmtId="0" fontId="8" fillId="0" borderId="0" applyAlignment="1" pivotButton="0" quotePrefix="0" xfId="0">
      <alignment horizontal="left" vertical="center"/>
    </xf>
    <xf numFmtId="0" fontId="9"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0" fillId="0" borderId="4" pivotButton="0" quotePrefix="0" xfId="0"/>
    <xf numFmtId="0" fontId="6" fillId="0" borderId="1" applyAlignment="1" pivotButton="0" quotePrefix="0" xfId="0">
      <alignment horizontal="center" vertical="center" wrapText="1"/>
    </xf>
    <xf numFmtId="0" fontId="6" fillId="3" borderId="1" applyAlignment="1" pivotButton="0" quotePrefix="0" xfId="0">
      <alignment vertical="center"/>
    </xf>
    <xf numFmtId="0" fontId="6" fillId="0" borderId="1" applyAlignment="1" pivotButton="0" quotePrefix="0" xfId="0">
      <alignment horizontal="left" vertical="center" wrapText="1"/>
    </xf>
    <xf numFmtId="0" fontId="0" fillId="0" borderId="0" applyAlignment="1" pivotButton="0" quotePrefix="0" xfId="0">
      <alignment vertical="center" wrapText="1"/>
    </xf>
    <xf numFmtId="0" fontId="10" fillId="0" borderId="0" applyAlignment="1" pivotButton="0" quotePrefix="0" xfId="0">
      <alignment horizontal="center"/>
    </xf>
    <xf numFmtId="0" fontId="6" fillId="0" borderId="0" applyAlignment="1" pivotButton="0" quotePrefix="0" xfId="0">
      <alignment horizontal="left"/>
    </xf>
    <xf numFmtId="0" fontId="9" fillId="4" borderId="5" applyAlignment="1" pivotButton="0" quotePrefix="0" xfId="0">
      <alignment horizontal="center" vertical="center"/>
    </xf>
    <xf numFmtId="0" fontId="9" fillId="4" borderId="5" applyAlignment="1" pivotButton="0" quotePrefix="0" xfId="0">
      <alignment horizontal="center" wrapText="1"/>
    </xf>
    <xf numFmtId="0" fontId="9" fillId="4" borderId="5" applyAlignment="1" pivotButton="0" quotePrefix="0" xfId="0">
      <alignment horizontal="center"/>
    </xf>
    <xf numFmtId="0" fontId="0" fillId="0" borderId="6" pivotButton="0" quotePrefix="0" xfId="0"/>
    <xf numFmtId="0" fontId="9" fillId="4" borderId="5" applyAlignment="1" pivotButton="0" quotePrefix="0" xfId="0">
      <alignment horizontal="center" vertical="center" wrapText="1"/>
    </xf>
    <xf numFmtId="0" fontId="0" fillId="0" borderId="7" pivotButton="0" quotePrefix="0" xfId="0"/>
    <xf numFmtId="0" fontId="11" fillId="5" borderId="5" applyAlignment="1" pivotButton="0" quotePrefix="0" xfId="0">
      <alignment horizontal="center"/>
    </xf>
    <xf numFmtId="0" fontId="11" fillId="5" borderId="5" pivotButton="0" quotePrefix="0" xfId="0"/>
    <xf numFmtId="9" fontId="6" fillId="5" borderId="5" pivotButton="0" quotePrefix="0" xfId="0"/>
    <xf numFmtId="0" fontId="6" fillId="5" borderId="5" pivotButton="0" quotePrefix="0" xfId="0"/>
    <xf numFmtId="0" fontId="6" fillId="5" borderId="5" applyAlignment="1" pivotButton="0" quotePrefix="0" xfId="0">
      <alignment vertical="center" wrapText="1"/>
    </xf>
    <xf numFmtId="0" fontId="12" fillId="0" borderId="5" applyAlignment="1" pivotButton="0" quotePrefix="0" xfId="0">
      <alignment horizontal="center"/>
    </xf>
    <xf numFmtId="0" fontId="12" fillId="0" borderId="5" pivotButton="0" quotePrefix="0" xfId="0"/>
    <xf numFmtId="0" fontId="6" fillId="0" borderId="5" pivotButton="0" quotePrefix="0" xfId="0"/>
    <xf numFmtId="0" fontId="6" fillId="0" borderId="5" applyAlignment="1" pivotButton="0" quotePrefix="0" xfId="0">
      <alignment vertical="center" wrapText="1"/>
    </xf>
    <xf numFmtId="0" fontId="6" fillId="0" borderId="5" applyAlignment="1" pivotButton="0" quotePrefix="0" xfId="0">
      <alignment horizontal="center"/>
    </xf>
    <xf numFmtId="0" fontId="13" fillId="0" borderId="8" applyAlignment="1" pivotButton="0" quotePrefix="0" xfId="0">
      <alignment horizontal="center" vertical="center" wrapText="1"/>
    </xf>
    <xf numFmtId="0" fontId="14" fillId="0" borderId="8" applyAlignment="1" pivotButton="0" quotePrefix="0" xfId="0">
      <alignment vertical="center" wrapText="1"/>
    </xf>
    <xf numFmtId="0" fontId="15" fillId="6" borderId="5" applyAlignment="1" pivotButton="0" quotePrefix="0" xfId="0">
      <alignment horizontal="right" vertical="center" wrapText="1"/>
    </xf>
    <xf numFmtId="0" fontId="15" fillId="6" borderId="5" applyAlignment="1" pivotButton="0" quotePrefix="0" xfId="0">
      <alignment vertical="center" wrapText="1"/>
    </xf>
    <xf numFmtId="9" fontId="15" fillId="6" borderId="5" applyAlignment="1" pivotButton="0" quotePrefix="0" xfId="0">
      <alignment vertical="center" wrapText="1"/>
    </xf>
    <xf numFmtId="0" fontId="16" fillId="7" borderId="7" applyAlignment="1" pivotButton="0" quotePrefix="0" xfId="0">
      <alignment vertical="center" wrapText="1"/>
    </xf>
    <xf numFmtId="0" fontId="17" fillId="7" borderId="7" applyAlignment="1" pivotButton="0" quotePrefix="0" xfId="0">
      <alignment vertical="center" wrapText="1"/>
    </xf>
    <xf numFmtId="9" fontId="16" fillId="7" borderId="7" applyAlignment="1" pivotButton="0" quotePrefix="0" xfId="0">
      <alignment vertical="center" wrapText="1"/>
    </xf>
    <xf numFmtId="0" fontId="0" fillId="0" borderId="5" applyAlignment="1" pivotButton="0" quotePrefix="0" xfId="0">
      <alignment vertical="center" wrapText="1"/>
    </xf>
    <xf numFmtId="0" fontId="18" fillId="0" borderId="5" applyAlignment="1" pivotButton="0" quotePrefix="0" xfId="0">
      <alignment vertical="center" wrapText="1"/>
    </xf>
    <xf numFmtId="0" fontId="19" fillId="0" borderId="5" applyAlignment="1" pivotButton="0" quotePrefix="0" xfId="0">
      <alignment vertical="center" wrapText="1"/>
    </xf>
    <xf numFmtId="0" fontId="0" fillId="0" borderId="8" applyAlignment="1" pivotButton="0" quotePrefix="0" xfId="0">
      <alignment vertical="center" wrapText="1"/>
    </xf>
    <xf numFmtId="0" fontId="18" fillId="0" borderId="8" applyAlignment="1" pivotButton="0" quotePrefix="0" xfId="0">
      <alignment vertical="center" wrapText="1"/>
    </xf>
    <xf numFmtId="0" fontId="16" fillId="7" borderId="5" applyAlignment="1" pivotButton="0" quotePrefix="0" xfId="0">
      <alignment vertical="center" wrapText="1"/>
    </xf>
    <xf numFmtId="0" fontId="17" fillId="7" borderId="5" applyAlignment="1" pivotButton="0" quotePrefix="0" xfId="0">
      <alignment vertical="center" wrapText="1"/>
    </xf>
    <xf numFmtId="9" fontId="16" fillId="7" borderId="5" applyAlignment="1" pivotButton="0" quotePrefix="0" xfId="0">
      <alignment vertical="center" wrapText="1"/>
    </xf>
    <xf numFmtId="0" fontId="0" fillId="0" borderId="5" applyAlignment="1" pivotButton="0" quotePrefix="0" xfId="0">
      <alignment vertical="center"/>
    </xf>
    <xf numFmtId="9" fontId="20" fillId="7" borderId="5" applyAlignment="1" pivotButton="0" quotePrefix="0" xfId="0">
      <alignment vertical="center" wrapText="1"/>
    </xf>
    <xf numFmtId="0" fontId="21" fillId="0" borderId="0" applyAlignment="1" pivotButton="0" quotePrefix="0" xfId="0">
      <alignment horizontal="center" vertical="center" wrapText="1"/>
    </xf>
    <xf numFmtId="0" fontId="21" fillId="0" borderId="0" applyAlignment="1" pivotButton="0" quotePrefix="0" xfId="0">
      <alignment vertical="center" wrapText="1"/>
    </xf>
    <xf numFmtId="0" fontId="21" fillId="0" borderId="0" applyAlignment="1" pivotButton="0" quotePrefix="0" xfId="0">
      <alignment vertical="center"/>
    </xf>
    <xf numFmtId="0" fontId="22" fillId="8" borderId="9" applyAlignment="1" pivotButton="0" quotePrefix="0" xfId="0">
      <alignment horizontal="left" vertical="center" wrapText="1"/>
    </xf>
    <xf numFmtId="0" fontId="0" fillId="0" borderId="9" pivotButton="0" quotePrefix="0" xfId="0"/>
    <xf numFmtId="0" fontId="16" fillId="0" borderId="5" pivotButton="0" quotePrefix="0" xfId="0"/>
    <xf numFmtId="0" fontId="21" fillId="0" borderId="5" applyAlignment="1" pivotButton="0" quotePrefix="0" xfId="0">
      <alignment horizontal="center" vertical="center" wrapText="1"/>
    </xf>
    <xf numFmtId="0" fontId="0" fillId="0" borderId="5" pivotButton="0" quotePrefix="0" xfId="0"/>
    <xf numFmtId="0" fontId="16" fillId="0" borderId="0" pivotButton="0" quotePrefix="0" xfId="0"/>
    <xf numFmtId="0" fontId="22" fillId="8" borderId="0" applyAlignment="1" pivotButton="0" quotePrefix="0" xfId="0">
      <alignment horizontal="left" vertical="center" wrapText="1"/>
    </xf>
    <xf numFmtId="9" fontId="16" fillId="0" borderId="5" applyAlignment="1" pivotButton="0" quotePrefix="0" xfId="0">
      <alignment horizontal="center"/>
    </xf>
    <xf numFmtId="0" fontId="22" fillId="0" borderId="5" applyAlignment="1" pivotButton="0" quotePrefix="0" xfId="0">
      <alignment horizontal="center" vertical="center" wrapText="1"/>
    </xf>
    <xf numFmtId="0" fontId="22" fillId="0" borderId="5" applyAlignment="1" pivotButton="0" quotePrefix="0" xfId="0">
      <alignment vertical="center" wrapText="1"/>
    </xf>
    <xf numFmtId="0" fontId="22" fillId="6" borderId="5" applyAlignment="1" pivotButton="0" quotePrefix="0" xfId="0">
      <alignment horizontal="center" vertical="center" wrapText="1"/>
    </xf>
    <xf numFmtId="0" fontId="22" fillId="6" borderId="5" applyAlignment="1" pivotButton="0" quotePrefix="0" xfId="0">
      <alignment vertical="center" wrapText="1"/>
    </xf>
    <xf numFmtId="9" fontId="22" fillId="6" borderId="5" applyAlignment="1" pivotButton="0" quotePrefix="0" xfId="0">
      <alignment vertical="center" wrapText="1"/>
    </xf>
    <xf numFmtId="0" fontId="22" fillId="9" borderId="5" applyAlignment="1" pivotButton="0" quotePrefix="0" xfId="0">
      <alignment horizontal="center" vertical="center" wrapText="1"/>
    </xf>
    <xf numFmtId="0" fontId="23" fillId="9" borderId="5" applyAlignment="1" pivotButton="0" quotePrefix="0" xfId="0">
      <alignment vertical="center"/>
    </xf>
    <xf numFmtId="0" fontId="23" fillId="9" borderId="5" applyAlignment="1" pivotButton="0" quotePrefix="0" xfId="0">
      <alignment vertical="center" wrapText="1"/>
    </xf>
    <xf numFmtId="0" fontId="24" fillId="9" borderId="5" applyAlignment="1" pivotButton="0" quotePrefix="0" xfId="0">
      <alignment vertical="center" wrapText="1"/>
    </xf>
    <xf numFmtId="9" fontId="22" fillId="9" borderId="5" applyAlignment="1" pivotButton="0" quotePrefix="0" xfId="0">
      <alignment vertical="center" wrapText="1"/>
    </xf>
    <xf numFmtId="0" fontId="21" fillId="9" borderId="5" applyAlignment="1" pivotButton="0" quotePrefix="0" xfId="0">
      <alignment vertical="center" wrapText="1"/>
    </xf>
    <xf numFmtId="0" fontId="21" fillId="9" borderId="8" applyAlignment="1" pivotButton="0" quotePrefix="0" xfId="0">
      <alignment vertical="center" wrapText="1"/>
    </xf>
    <xf numFmtId="0" fontId="21" fillId="0" borderId="5" applyAlignment="1" pivotButton="0" quotePrefix="0" xfId="0">
      <alignment vertical="center" wrapText="1"/>
    </xf>
    <xf numFmtId="0" fontId="25" fillId="0" borderId="5" applyAlignment="1" pivotButton="0" quotePrefix="0" xfId="0">
      <alignment vertical="center" wrapText="1"/>
    </xf>
    <xf numFmtId="0" fontId="26" fillId="0" borderId="5" applyAlignment="1" pivotButton="0" quotePrefix="0" xfId="0">
      <alignment vertical="center" wrapText="1"/>
    </xf>
    <xf numFmtId="0" fontId="26" fillId="0" borderId="5" applyAlignment="1" pivotButton="0" quotePrefix="0" xfId="0">
      <alignment vertical="center"/>
    </xf>
    <xf numFmtId="9" fontId="21" fillId="0" borderId="5" applyAlignment="1" pivotButton="0" quotePrefix="0" xfId="0">
      <alignment vertical="center" wrapText="1"/>
    </xf>
    <xf numFmtId="0" fontId="21" fillId="9" borderId="5" applyAlignment="1" pivotButton="0" quotePrefix="0" xfId="0">
      <alignment horizontal="center" vertical="center" wrapText="1"/>
    </xf>
    <xf numFmtId="0" fontId="26" fillId="0" borderId="0" applyAlignment="1" pivotButton="0" quotePrefix="0" xfId="0">
      <alignment vertical="center" wrapText="1"/>
    </xf>
    <xf numFmtId="0" fontId="22" fillId="10" borderId="0" applyAlignment="1" pivotButton="0" quotePrefix="0" xfId="0">
      <alignment horizontal="center" vertical="center" wrapText="1"/>
    </xf>
    <xf numFmtId="0" fontId="21" fillId="10" borderId="0" applyAlignment="1" pivotButton="0" quotePrefix="0" xfId="0">
      <alignment vertical="center" wrapText="1"/>
    </xf>
    <xf numFmtId="9" fontId="0" fillId="0" borderId="0" applyAlignment="1" pivotButton="0" quotePrefix="0" xfId="0">
      <alignment horizontal="center"/>
    </xf>
    <xf numFmtId="0" fontId="22" fillId="8" borderId="5" applyAlignment="1" pivotButton="0" quotePrefix="0" xfId="0">
      <alignment horizontal="left" vertical="center" wrapText="1"/>
    </xf>
    <xf numFmtId="0" fontId="16" fillId="0" borderId="5" applyAlignment="1" pivotButton="0" quotePrefix="0" xfId="0">
      <alignment horizontal="center"/>
    </xf>
    <xf numFmtId="9" fontId="16" fillId="0" borderId="0" applyAlignment="1" pivotButton="0" quotePrefix="0" xfId="0">
      <alignment horizontal="center"/>
    </xf>
    <xf numFmtId="0" fontId="16" fillId="8" borderId="0" pivotButton="0" quotePrefix="0" xfId="0"/>
    <xf numFmtId="9" fontId="16" fillId="8" borderId="0" applyAlignment="1" pivotButton="0" quotePrefix="0" xfId="0">
      <alignment horizontal="center"/>
    </xf>
    <xf numFmtId="0" fontId="22" fillId="8" borderId="5" applyAlignment="1" pivotButton="0" quotePrefix="0" xfId="0">
      <alignment horizontal="center" vertical="center" wrapText="1"/>
    </xf>
    <xf numFmtId="0" fontId="22" fillId="8" borderId="5" applyAlignment="1" pivotButton="0" quotePrefix="0" xfId="0">
      <alignment horizontal="center" vertical="center"/>
    </xf>
    <xf numFmtId="0" fontId="22" fillId="8" borderId="10" applyAlignment="1" pivotButton="0" quotePrefix="0" xfId="0">
      <alignment horizontal="center" vertical="center" wrapText="1"/>
    </xf>
    <xf numFmtId="0" fontId="22" fillId="8" borderId="5" applyAlignment="1" pivotButton="0" quotePrefix="0" xfId="0">
      <alignment vertical="center" wrapText="1"/>
    </xf>
    <xf numFmtId="0" fontId="22" fillId="6" borderId="8" applyAlignment="1" pivotButton="0" quotePrefix="0" xfId="0">
      <alignment vertical="center" wrapText="1"/>
    </xf>
    <xf numFmtId="0" fontId="22" fillId="6" borderId="8" applyAlignment="1" pivotButton="0" quotePrefix="0" xfId="0">
      <alignment horizontal="center" vertical="center" wrapText="1"/>
    </xf>
    <xf numFmtId="0" fontId="22" fillId="6" borderId="8" applyAlignment="1" pivotButton="0" quotePrefix="0" xfId="0">
      <alignment vertical="center"/>
    </xf>
    <xf numFmtId="9" fontId="22" fillId="6" borderId="11" applyAlignment="1" pivotButton="0" quotePrefix="0" xfId="0">
      <alignment vertical="center" wrapText="1"/>
    </xf>
    <xf numFmtId="0" fontId="22" fillId="9" borderId="10" applyAlignment="1" pivotButton="0" quotePrefix="0" xfId="0">
      <alignment horizontal="center" vertical="center" wrapText="1"/>
    </xf>
    <xf numFmtId="0" fontId="22" fillId="9" borderId="5" applyAlignment="1" pivotButton="0" quotePrefix="0" xfId="0">
      <alignment vertical="center" wrapText="1"/>
    </xf>
    <xf numFmtId="9" fontId="22" fillId="9" borderId="5" applyAlignment="1" pivotButton="0" quotePrefix="0" xfId="0">
      <alignment horizontal="center" vertical="center" wrapText="1"/>
    </xf>
    <xf numFmtId="0" fontId="25" fillId="9" borderId="5" applyAlignment="1" pivotButton="0" quotePrefix="0" xfId="0">
      <alignment vertical="center"/>
    </xf>
    <xf numFmtId="0" fontId="25" fillId="9" borderId="5" applyAlignment="1" pivotButton="0" quotePrefix="0" xfId="0">
      <alignment vertical="center" wrapText="1"/>
    </xf>
    <xf numFmtId="0" fontId="21" fillId="9" borderId="10" applyAlignment="1" pivotButton="0" quotePrefix="0" xfId="0">
      <alignment vertical="center" wrapText="1"/>
    </xf>
    <xf numFmtId="0" fontId="21" fillId="0" borderId="10" applyAlignment="1" pivotButton="0" quotePrefix="0" xfId="0">
      <alignment horizontal="center" vertical="center" wrapText="1"/>
    </xf>
    <xf numFmtId="0" fontId="27" fillId="0" borderId="5" applyAlignment="1" pivotButton="0" quotePrefix="0" xfId="0">
      <alignment horizontal="left" vertical="center" wrapText="1"/>
    </xf>
    <xf numFmtId="0" fontId="21" fillId="0" borderId="10" applyAlignment="1" pivotButton="0" quotePrefix="0" xfId="0">
      <alignment vertical="center" wrapText="1"/>
    </xf>
    <xf numFmtId="0" fontId="23" fillId="0" borderId="5" applyAlignment="1" pivotButton="0" quotePrefix="0" xfId="0">
      <alignment vertical="center" wrapText="1"/>
    </xf>
    <xf numFmtId="0" fontId="21" fillId="0" borderId="11" applyAlignment="1" pivotButton="0" quotePrefix="0" xfId="0">
      <alignment horizontal="center" vertical="center" wrapText="1"/>
    </xf>
    <xf numFmtId="0" fontId="21" fillId="0" borderId="12" applyAlignment="1" pivotButton="0" quotePrefix="0" xfId="0">
      <alignment vertical="center" wrapText="1"/>
    </xf>
    <xf numFmtId="0" fontId="21" fillId="0" borderId="8" applyAlignment="1" pivotButton="0" quotePrefix="0" xfId="0">
      <alignment horizontal="center" vertical="center" wrapText="1"/>
    </xf>
    <xf numFmtId="0" fontId="25" fillId="0" borderId="8" applyAlignment="1" pivotButton="0" quotePrefix="0" xfId="0">
      <alignment vertical="center" wrapText="1"/>
    </xf>
    <xf numFmtId="0" fontId="21" fillId="0" borderId="11" applyAlignment="1" pivotButton="0" quotePrefix="0" xfId="0">
      <alignment vertical="center" wrapText="1"/>
    </xf>
    <xf numFmtId="0" fontId="22" fillId="9" borderId="6" applyAlignment="1" pivotButton="0" quotePrefix="0" xfId="0">
      <alignment vertical="center" wrapText="1"/>
    </xf>
    <xf numFmtId="0" fontId="21" fillId="0" borderId="6" applyAlignment="1" pivotButton="0" quotePrefix="0" xfId="0">
      <alignment vertical="center" wrapText="1"/>
    </xf>
    <xf numFmtId="0" fontId="21" fillId="9" borderId="5" applyAlignment="1" pivotButton="0" quotePrefix="0" xfId="0">
      <alignment vertical="center"/>
    </xf>
    <xf numFmtId="0" fontId="0" fillId="0" borderId="0" applyAlignment="1" pivotButton="0" quotePrefix="0" xfId="0">
      <alignment horizontal="center"/>
    </xf>
    <xf numFmtId="0" fontId="28" fillId="4" borderId="1" applyAlignment="1" pivotButton="0" quotePrefix="0" xfId="0">
      <alignment horizontal="center" vertical="center" wrapText="1"/>
    </xf>
    <xf numFmtId="0" fontId="28" fillId="4" borderId="13" applyAlignment="1" pivotButton="0" quotePrefix="0" xfId="0">
      <alignment horizontal="center" vertical="center" wrapText="1"/>
    </xf>
    <xf numFmtId="0" fontId="28" fillId="4" borderId="14" applyAlignment="1" pivotButton="0" quotePrefix="0" xfId="0">
      <alignment horizontal="center" vertical="center" wrapText="1"/>
    </xf>
    <xf numFmtId="0" fontId="28" fillId="4" borderId="5" applyAlignment="1" pivotButton="0" quotePrefix="0" xfId="0">
      <alignment horizontal="center" vertical="center" wrapText="1"/>
    </xf>
    <xf numFmtId="0" fontId="0" fillId="0" borderId="15" pivotButton="0" quotePrefix="0" xfId="0"/>
    <xf numFmtId="0" fontId="0" fillId="0" borderId="0" applyAlignment="1" pivotButton="0" quotePrefix="0" xfId="0">
      <alignment vertical="center"/>
    </xf>
    <xf numFmtId="0" fontId="28" fillId="4" borderId="16" applyAlignment="1" pivotButton="0" quotePrefix="0" xfId="0">
      <alignment horizontal="center" vertical="center" wrapText="1"/>
    </xf>
    <xf numFmtId="0" fontId="0" fillId="0" borderId="14" pivotButton="0" quotePrefix="0" xfId="0"/>
    <xf numFmtId="9" fontId="28" fillId="4" borderId="7" applyAlignment="1" pivotButton="0" quotePrefix="0" xfId="3">
      <alignment horizontal="center" vertical="center" wrapText="1"/>
    </xf>
    <xf numFmtId="0" fontId="28" fillId="4" borderId="7" applyAlignment="1" pivotButton="0" quotePrefix="0" xfId="0">
      <alignment horizontal="center" vertical="center" wrapText="1"/>
    </xf>
    <xf numFmtId="9" fontId="28" fillId="4" borderId="5" applyAlignment="1" pivotButton="0" quotePrefix="0" xfId="3">
      <alignment horizontal="center" vertical="center" wrapText="1"/>
    </xf>
    <xf numFmtId="0" fontId="29" fillId="11" borderId="1" applyAlignment="1" pivotButton="0" quotePrefix="0" xfId="0">
      <alignment horizontal="center" vertical="center" wrapText="1"/>
    </xf>
    <xf numFmtId="0" fontId="29" fillId="11" borderId="1" applyAlignment="1" pivotButton="0" quotePrefix="0" xfId="0">
      <alignment horizontal="left" vertical="center" wrapText="1"/>
    </xf>
    <xf numFmtId="0" fontId="29" fillId="11" borderId="17" applyAlignment="1" pivotButton="0" quotePrefix="0" xfId="0">
      <alignment horizontal="center" vertical="center" wrapText="1"/>
    </xf>
    <xf numFmtId="9" fontId="4" fillId="11" borderId="5" applyAlignment="1" pivotButton="0" quotePrefix="0" xfId="0">
      <alignment vertical="center" wrapText="1"/>
    </xf>
    <xf numFmtId="0" fontId="29" fillId="11" borderId="18" applyAlignment="1" pivotButton="0" quotePrefix="0" xfId="0">
      <alignment horizontal="center" vertical="center" wrapText="1"/>
    </xf>
    <xf numFmtId="9" fontId="29" fillId="11" borderId="18" applyAlignment="1" pivotButton="0" quotePrefix="0" xfId="0">
      <alignment horizontal="center" vertical="center" wrapText="1"/>
    </xf>
    <xf numFmtId="0" fontId="4" fillId="9" borderId="1" applyAlignment="1" pivotButton="0" quotePrefix="0" xfId="0">
      <alignment horizontal="center" vertical="center" wrapText="1"/>
    </xf>
    <xf numFmtId="0" fontId="30" fillId="9" borderId="10" applyAlignment="1" pivotButton="0" quotePrefix="0" xfId="0">
      <alignment vertical="center" wrapText="1"/>
    </xf>
    <xf numFmtId="0" fontId="4" fillId="9" borderId="8" applyAlignment="1" pivotButton="0" quotePrefix="0" xfId="0">
      <alignment horizontal="center" vertical="center" wrapText="1"/>
    </xf>
    <xf numFmtId="9" fontId="29" fillId="9" borderId="8" applyAlignment="1" pivotButton="0" quotePrefix="0" xfId="3">
      <alignment horizontal="center" vertical="center" wrapText="1"/>
    </xf>
    <xf numFmtId="0" fontId="4" fillId="9" borderId="15" applyAlignment="1" pivotButton="0" quotePrefix="0" xfId="0">
      <alignment vertical="center" wrapText="1"/>
    </xf>
    <xf numFmtId="9" fontId="4" fillId="9" borderId="5" applyAlignment="1" pivotButton="0" quotePrefix="0" xfId="0">
      <alignment vertical="center" wrapText="1"/>
    </xf>
    <xf numFmtId="9" fontId="5" fillId="9" borderId="6" applyAlignment="1" pivotButton="0" quotePrefix="0" xfId="3">
      <alignment horizontal="left" vertical="center" wrapText="1"/>
    </xf>
    <xf numFmtId="9" fontId="5" fillId="9" borderId="5" applyAlignment="1" pivotButton="0" quotePrefix="0" xfId="3">
      <alignment horizontal="center" vertical="center" wrapText="1"/>
    </xf>
    <xf numFmtId="2" fontId="7" fillId="9" borderId="5" applyAlignment="1" pivotButton="0" quotePrefix="0" xfId="0">
      <alignment horizontal="center" vertical="center" wrapText="1"/>
    </xf>
    <xf numFmtId="2" fontId="7" fillId="9" borderId="6" applyAlignment="1" pivotButton="0" quotePrefix="0" xfId="0">
      <alignment horizontal="center" vertical="center" wrapText="1"/>
    </xf>
    <xf numFmtId="0" fontId="7" fillId="9" borderId="6" applyAlignment="1" pivotButton="0" quotePrefix="0" xfId="0">
      <alignment horizontal="center" vertical="center" wrapText="1"/>
    </xf>
    <xf numFmtId="0" fontId="5" fillId="3" borderId="1" applyAlignment="1" pivotButton="0" quotePrefix="0" xfId="0">
      <alignment horizontal="center" vertical="center" wrapText="1"/>
    </xf>
    <xf numFmtId="0" fontId="31" fillId="0" borderId="10" applyAlignment="1" pivotButton="0" quotePrefix="0" xfId="0">
      <alignment vertical="center" wrapText="1"/>
    </xf>
    <xf numFmtId="0" fontId="5" fillId="3" borderId="5" applyAlignment="1" pivotButton="0" quotePrefix="0" xfId="0">
      <alignment horizontal="center" vertical="center" wrapText="1"/>
    </xf>
    <xf numFmtId="9" fontId="5" fillId="3" borderId="5" applyAlignment="1" pivotButton="0" quotePrefix="0" xfId="3">
      <alignment horizontal="center" vertical="center" wrapText="1"/>
    </xf>
    <xf numFmtId="0" fontId="31" fillId="0" borderId="9" applyAlignment="1" pivotButton="0" quotePrefix="0" xfId="0">
      <alignment vertical="center" wrapText="1"/>
    </xf>
    <xf numFmtId="0" fontId="5" fillId="0" borderId="7" applyAlignment="1" pivotButton="0" quotePrefix="0" xfId="0">
      <alignment vertical="center" wrapText="1"/>
    </xf>
    <xf numFmtId="9" fontId="5" fillId="0" borderId="19" applyAlignment="1" pivotButton="0" quotePrefix="0" xfId="0">
      <alignment horizontal="center" vertical="center" wrapText="1"/>
    </xf>
    <xf numFmtId="0" fontId="5" fillId="0" borderId="19" applyAlignment="1" pivotButton="0" quotePrefix="0" xfId="0">
      <alignment horizontal="center" vertical="center" wrapText="1"/>
    </xf>
    <xf numFmtId="0" fontId="31" fillId="0" borderId="19" applyAlignment="1" pivotButton="0" quotePrefix="0" xfId="0">
      <alignment horizontal="center" vertical="center" wrapText="1"/>
    </xf>
    <xf numFmtId="0" fontId="31" fillId="0" borderId="6" applyAlignment="1" pivotButton="0" quotePrefix="0" xfId="0">
      <alignment vertical="center" wrapText="1"/>
    </xf>
    <xf numFmtId="0" fontId="5" fillId="0" borderId="5" applyAlignment="1" pivotButton="0" quotePrefix="0" xfId="0">
      <alignment vertical="center" wrapText="1"/>
    </xf>
    <xf numFmtId="9" fontId="5" fillId="0" borderId="20" applyAlignment="1" pivotButton="0" quotePrefix="0" xfId="0">
      <alignment horizontal="center" vertical="center" wrapText="1"/>
    </xf>
    <xf numFmtId="0" fontId="31" fillId="0" borderId="20" applyAlignment="1" pivotButton="0" quotePrefix="0" xfId="0">
      <alignment horizontal="center" vertical="center" wrapText="1"/>
    </xf>
    <xf numFmtId="0" fontId="31" fillId="0" borderId="12" applyAlignment="1" pivotButton="0" quotePrefix="0" xfId="0">
      <alignment vertical="center" wrapText="1"/>
    </xf>
    <xf numFmtId="0" fontId="5" fillId="0" borderId="8" applyAlignment="1" pivotButton="0" quotePrefix="0" xfId="0">
      <alignment vertical="center" wrapText="1"/>
    </xf>
    <xf numFmtId="9" fontId="5" fillId="0" borderId="9" applyAlignment="1" pivotButton="0" quotePrefix="0" xfId="0">
      <alignment horizontal="center" vertical="center" wrapText="1"/>
    </xf>
    <xf numFmtId="0" fontId="5" fillId="0" borderId="5" applyAlignment="1" pivotButton="0" quotePrefix="0" xfId="0">
      <alignment horizontal="center" vertical="center"/>
    </xf>
    <xf numFmtId="0" fontId="31" fillId="0" borderId="5" applyAlignment="1" pivotButton="0" quotePrefix="0" xfId="0">
      <alignment horizontal="center" vertical="center" wrapText="1"/>
    </xf>
    <xf numFmtId="0" fontId="30" fillId="9" borderId="5" applyAlignment="1" pivotButton="0" quotePrefix="0" xfId="0">
      <alignment vertical="center" wrapText="1"/>
    </xf>
    <xf numFmtId="0" fontId="4" fillId="9" borderId="16" applyAlignment="1" pivotButton="0" quotePrefix="0" xfId="0">
      <alignment horizontal="center" vertical="center" wrapText="1"/>
    </xf>
    <xf numFmtId="0" fontId="32" fillId="9" borderId="15" applyAlignment="1" pivotButton="0" quotePrefix="0" xfId="0">
      <alignment vertical="center" wrapText="1"/>
    </xf>
    <xf numFmtId="9" fontId="4" fillId="9" borderId="11" applyAlignment="1" pivotButton="0" quotePrefix="0" xfId="3">
      <alignment horizontal="left" vertical="center" wrapText="1"/>
    </xf>
    <xf numFmtId="9" fontId="5" fillId="9" borderId="5" applyAlignment="1" pivotButton="0" quotePrefix="0" xfId="3">
      <alignment horizontal="left" vertical="center" wrapText="1"/>
    </xf>
    <xf numFmtId="9" fontId="5" fillId="9" borderId="7" applyAlignment="1" pivotButton="0" quotePrefix="0" xfId="3">
      <alignment horizontal="center" vertical="center" wrapText="1"/>
    </xf>
    <xf numFmtId="0" fontId="7" fillId="9" borderId="7" applyAlignment="1" pivotButton="0" quotePrefix="0" xfId="0">
      <alignment horizontal="center" vertical="center" wrapText="1"/>
    </xf>
    <xf numFmtId="0" fontId="7" fillId="9" borderId="19" applyAlignment="1" pivotButton="0" quotePrefix="0" xfId="0">
      <alignment horizontal="center" vertical="center" wrapText="1"/>
    </xf>
    <xf numFmtId="0" fontId="31" fillId="0" borderId="5" applyAlignment="1" pivotButton="0" quotePrefix="0" xfId="0">
      <alignment vertical="center" wrapText="1"/>
    </xf>
    <xf numFmtId="0" fontId="5" fillId="3" borderId="21" applyAlignment="1" pivotButton="0" quotePrefix="0" xfId="0">
      <alignment horizontal="center" vertical="center" wrapText="1"/>
    </xf>
    <xf numFmtId="0" fontId="5" fillId="0" borderId="15" applyAlignment="1" pivotButton="0" quotePrefix="0" xfId="0">
      <alignment vertical="center"/>
    </xf>
    <xf numFmtId="0" fontId="5" fillId="0" borderId="19" applyAlignment="1" pivotButton="0" quotePrefix="0" xfId="0">
      <alignment horizontal="center" vertical="center"/>
    </xf>
    <xf numFmtId="0" fontId="5" fillId="0" borderId="15" applyAlignment="1" pivotButton="0" quotePrefix="0" xfId="0">
      <alignment vertical="center" wrapText="1"/>
    </xf>
    <xf numFmtId="9" fontId="5" fillId="3" borderId="5" applyAlignment="1" pivotButton="0" quotePrefix="0" xfId="3">
      <alignment horizontal="left" vertical="center" wrapText="1"/>
    </xf>
    <xf numFmtId="0" fontId="5" fillId="0" borderId="6" applyAlignment="1" pivotButton="0" quotePrefix="0" xfId="0">
      <alignment vertical="center" wrapText="1"/>
    </xf>
    <xf numFmtId="0" fontId="5" fillId="0" borderId="20" applyAlignment="1" pivotButton="0" quotePrefix="0" xfId="0">
      <alignment horizontal="center" vertical="center"/>
    </xf>
    <xf numFmtId="0" fontId="4" fillId="9" borderId="21" applyAlignment="1" pivotButton="0" quotePrefix="0" xfId="0">
      <alignment horizontal="center" vertical="center" wrapText="1"/>
    </xf>
    <xf numFmtId="0" fontId="4" fillId="9" borderId="5" applyAlignment="1" pivotButton="0" quotePrefix="0" xfId="0">
      <alignment horizontal="center" vertical="center" wrapText="1"/>
    </xf>
    <xf numFmtId="0" fontId="5" fillId="9" borderId="5" applyAlignment="1" pivotButton="0" quotePrefix="0" xfId="0">
      <alignment vertical="center"/>
    </xf>
    <xf numFmtId="0" fontId="5" fillId="9" borderId="10" applyAlignment="1" pivotButton="0" quotePrefix="0" xfId="0">
      <alignment vertical="center"/>
    </xf>
    <xf numFmtId="9" fontId="5" fillId="9" borderId="10" applyAlignment="1" pivotButton="0" quotePrefix="0" xfId="0">
      <alignment horizontal="center" vertical="center"/>
    </xf>
    <xf numFmtId="0" fontId="4" fillId="9" borderId="10" applyAlignment="1" pivotButton="0" quotePrefix="0" xfId="0">
      <alignment horizontal="center" vertical="center" wrapText="1"/>
    </xf>
    <xf numFmtId="0" fontId="4" fillId="9" borderId="22" applyAlignment="1" pivotButton="0" quotePrefix="0" xfId="0">
      <alignment vertical="center" wrapText="1"/>
    </xf>
    <xf numFmtId="0" fontId="5" fillId="9" borderId="8" applyAlignment="1" pivotButton="0" quotePrefix="0" xfId="0">
      <alignment vertical="center"/>
    </xf>
    <xf numFmtId="0" fontId="5" fillId="9" borderId="11" applyAlignment="1" pivotButton="0" quotePrefix="0" xfId="0">
      <alignment vertical="center"/>
    </xf>
    <xf numFmtId="9" fontId="5" fillId="9" borderId="11" applyAlignment="1" pivotButton="0" quotePrefix="0" xfId="0">
      <alignment horizontal="center" vertical="center"/>
    </xf>
    <xf numFmtId="0" fontId="4" fillId="9" borderId="11" applyAlignment="1" pivotButton="0" quotePrefix="0" xfId="0">
      <alignment horizontal="center" vertical="center" wrapText="1"/>
    </xf>
    <xf numFmtId="0" fontId="29" fillId="11" borderId="1" applyAlignment="1" pivotButton="0" quotePrefix="0" xfId="0">
      <alignment horizontal="center" vertical="center"/>
    </xf>
    <xf numFmtId="0" fontId="29" fillId="11" borderId="21" applyAlignment="1" pivotButton="0" quotePrefix="0" xfId="0">
      <alignment horizontal="left" vertical="center" wrapText="1"/>
    </xf>
    <xf numFmtId="0" fontId="29" fillId="11" borderId="11" applyAlignment="1" pivotButton="0" quotePrefix="0" xfId="0">
      <alignment horizontal="center" vertical="center" wrapText="1"/>
    </xf>
    <xf numFmtId="9" fontId="29" fillId="11" borderId="11" applyAlignment="1" pivotButton="0" quotePrefix="0" xfId="0">
      <alignment horizontal="center" vertical="center" wrapText="1"/>
    </xf>
    <xf numFmtId="0" fontId="29" fillId="11" borderId="5" applyAlignment="1" pivotButton="0" quotePrefix="0" xfId="0">
      <alignment horizontal="left" vertical="center"/>
    </xf>
    <xf numFmtId="0" fontId="28" fillId="11" borderId="6" applyAlignment="1" pivotButton="0" quotePrefix="0" xfId="0">
      <alignment vertical="center" wrapText="1"/>
    </xf>
    <xf numFmtId="0" fontId="28" fillId="11" borderId="5" applyAlignment="1" pivotButton="0" quotePrefix="0" xfId="0">
      <alignment horizontal="center" vertical="center" wrapText="1"/>
    </xf>
    <xf numFmtId="165" fontId="29" fillId="11" borderId="10" applyAlignment="1" pivotButton="0" quotePrefix="0" xfId="0">
      <alignment horizontal="center" vertical="center"/>
    </xf>
    <xf numFmtId="165" fontId="29" fillId="11" borderId="5" applyAlignment="1" pivotButton="0" quotePrefix="0" xfId="0">
      <alignment horizontal="center" vertical="center"/>
    </xf>
    <xf numFmtId="0" fontId="29" fillId="11" borderId="19" applyAlignment="1" pivotButton="0" quotePrefix="0" xfId="0">
      <alignment horizontal="center" vertical="center"/>
    </xf>
    <xf numFmtId="0" fontId="29" fillId="11" borderId="8" applyAlignment="1" pivotButton="0" quotePrefix="0" xfId="0">
      <alignment horizontal="center" vertical="center"/>
    </xf>
    <xf numFmtId="165" fontId="29" fillId="11" borderId="7" applyAlignment="1" pivotButton="0" quotePrefix="0" xfId="0">
      <alignment horizontal="center" vertical="center"/>
    </xf>
    <xf numFmtId="0" fontId="9" fillId="0" borderId="0" applyAlignment="1" pivotButton="0" quotePrefix="0" xfId="0">
      <alignment vertical="center" wrapText="1"/>
    </xf>
    <xf numFmtId="0" fontId="33" fillId="0" borderId="0" applyAlignment="1" pivotButton="0" quotePrefix="0" xfId="0">
      <alignment horizontal="center" vertical="center"/>
    </xf>
    <xf numFmtId="9" fontId="33" fillId="0" borderId="0" applyAlignment="1" pivotButton="0" quotePrefix="0" xfId="3">
      <alignment horizontal="center" vertical="center" wrapText="1"/>
    </xf>
    <xf numFmtId="9" fontId="33" fillId="0" borderId="0" applyAlignment="1" pivotButton="0" quotePrefix="0" xfId="3">
      <alignment horizontal="center" vertical="center"/>
    </xf>
    <xf numFmtId="0" fontId="5" fillId="0" borderId="1" applyAlignment="1" pivotButton="0" quotePrefix="0" xfId="0">
      <alignment horizontal="center" vertical="center"/>
    </xf>
    <xf numFmtId="0" fontId="5" fillId="0" borderId="21" applyAlignment="1" pivotButton="0" quotePrefix="0" xfId="0">
      <alignment vertical="center" wrapText="1"/>
    </xf>
    <xf numFmtId="9" fontId="5" fillId="0" borderId="5" applyAlignment="1" pivotButton="0" quotePrefix="0" xfId="3">
      <alignment horizontal="center" vertical="center"/>
    </xf>
    <xf numFmtId="0" fontId="5" fillId="0" borderId="23" applyAlignment="1" pivotButton="0" quotePrefix="0" xfId="0">
      <alignment horizontal="left" vertical="center" wrapText="1"/>
    </xf>
    <xf numFmtId="0" fontId="4" fillId="0" borderId="5" applyAlignment="1" pivotButton="0" quotePrefix="0" xfId="0">
      <alignment vertical="center" wrapText="1"/>
    </xf>
    <xf numFmtId="0" fontId="4" fillId="0" borderId="5" applyAlignment="1" pivotButton="0" quotePrefix="0" xfId="0">
      <alignment horizontal="center" vertical="center" wrapText="1"/>
    </xf>
    <xf numFmtId="165" fontId="4" fillId="0" borderId="5" applyAlignment="1" pivotButton="0" quotePrefix="0" xfId="0">
      <alignment horizontal="center" vertical="center" wrapText="1"/>
    </xf>
    <xf numFmtId="9" fontId="4" fillId="0" borderId="5" applyAlignment="1" pivotButton="0" quotePrefix="0" xfId="0">
      <alignment horizontal="center" vertical="center" wrapText="1"/>
    </xf>
    <xf numFmtId="0" fontId="5" fillId="0" borderId="7" applyAlignment="1" pivotButton="0" quotePrefix="0" xfId="0">
      <alignment horizontal="center" vertical="center" wrapText="1"/>
    </xf>
    <xf numFmtId="165" fontId="5" fillId="0" borderId="10" applyAlignment="1" pivotButton="0" quotePrefix="0" xfId="0">
      <alignment horizontal="center" vertical="center" wrapText="1"/>
    </xf>
    <xf numFmtId="165" fontId="5" fillId="0" borderId="6" applyAlignment="1" pivotButton="0" quotePrefix="0" xfId="0">
      <alignment horizontal="center" vertical="center" wrapText="1"/>
    </xf>
    <xf numFmtId="0" fontId="6" fillId="0" borderId="0" applyAlignment="1" pivotButton="0" quotePrefix="0" xfId="0">
      <alignment horizontal="center" vertical="center"/>
    </xf>
    <xf numFmtId="9" fontId="6" fillId="0" borderId="0" applyAlignment="1" pivotButton="0" quotePrefix="0" xfId="3">
      <alignment horizontal="center" vertical="center"/>
    </xf>
    <xf numFmtId="9" fontId="6" fillId="0" borderId="0" applyAlignment="1" pivotButton="0" quotePrefix="0" xfId="0">
      <alignment horizontal="center" vertical="center"/>
    </xf>
    <xf numFmtId="0" fontId="5" fillId="0" borderId="5" applyAlignment="1" pivotButton="0" quotePrefix="0" xfId="0">
      <alignment horizontal="center" vertical="center" wrapText="1"/>
    </xf>
    <xf numFmtId="0" fontId="0" fillId="0" borderId="23" pivotButton="0" quotePrefix="0" xfId="0"/>
    <xf numFmtId="0" fontId="29" fillId="11" borderId="24" applyAlignment="1" pivotButton="0" quotePrefix="0" xfId="0">
      <alignment horizontal="center" vertical="center" wrapText="1"/>
    </xf>
    <xf numFmtId="9" fontId="29" fillId="11" borderId="25" applyAlignment="1" pivotButton="0" quotePrefix="0" xfId="0">
      <alignment horizontal="center" vertical="center" wrapText="1"/>
    </xf>
    <xf numFmtId="0" fontId="29" fillId="11" borderId="2" applyAlignment="1" pivotButton="0" quotePrefix="0" xfId="0">
      <alignment horizontal="left" vertical="center"/>
    </xf>
    <xf numFmtId="0" fontId="4" fillId="11" borderId="5" applyAlignment="1" pivotButton="0" quotePrefix="0" xfId="0">
      <alignment vertical="center" wrapText="1"/>
    </xf>
    <xf numFmtId="0" fontId="4" fillId="11" borderId="5" applyAlignment="1" pivotButton="0" quotePrefix="0" xfId="0">
      <alignment horizontal="center" vertical="center" wrapText="1"/>
    </xf>
    <xf numFmtId="165" fontId="4" fillId="11" borderId="5" applyAlignment="1" pivotButton="0" quotePrefix="0" xfId="0">
      <alignment horizontal="center" vertical="center"/>
    </xf>
    <xf numFmtId="0" fontId="4" fillId="11" borderId="5" applyAlignment="1" pivotButton="0" quotePrefix="0" xfId="0">
      <alignment horizontal="center" vertical="center"/>
    </xf>
    <xf numFmtId="0" fontId="4" fillId="11" borderId="10" applyAlignment="1" pivotButton="0" quotePrefix="0" xfId="0">
      <alignment horizontal="center" vertical="center"/>
    </xf>
    <xf numFmtId="165" fontId="4" fillId="11" borderId="6" applyAlignment="1" pivotButton="0" quotePrefix="0" xfId="0">
      <alignment horizontal="center" vertical="center"/>
    </xf>
    <xf numFmtId="0" fontId="5" fillId="0" borderId="26" applyAlignment="1" pivotButton="0" quotePrefix="0" xfId="0">
      <alignment horizontal="left" vertical="center" wrapText="1"/>
    </xf>
    <xf numFmtId="165" fontId="5" fillId="0" borderId="5" applyAlignment="1" pivotButton="0" quotePrefix="0" xfId="0">
      <alignment horizontal="center" vertical="center"/>
    </xf>
    <xf numFmtId="165" fontId="5" fillId="0" borderId="10" applyAlignment="1" pivotButton="0" quotePrefix="0" xfId="0">
      <alignment horizontal="center" vertical="center"/>
    </xf>
    <xf numFmtId="165" fontId="5" fillId="0" borderId="6" applyAlignment="1" pivotButton="0" quotePrefix="0" xfId="0">
      <alignment horizontal="center" vertical="center"/>
    </xf>
    <xf numFmtId="0" fontId="5" fillId="0" borderId="17" applyAlignment="1" pivotButton="0" quotePrefix="0" xfId="0">
      <alignment horizontal="center" vertical="center"/>
    </xf>
    <xf numFmtId="0" fontId="5" fillId="0" borderId="13" applyAlignment="1" pivotButton="0" quotePrefix="0" xfId="0">
      <alignment vertical="center" wrapText="1"/>
    </xf>
    <xf numFmtId="0" fontId="28" fillId="4" borderId="5" applyAlignment="1" pivotButton="0" quotePrefix="0" xfId="0">
      <alignment horizontal="left" vertical="center"/>
    </xf>
    <xf numFmtId="0" fontId="28" fillId="4" borderId="25" applyAlignment="1" pivotButton="0" quotePrefix="0" xfId="0">
      <alignment horizontal="center" vertical="center"/>
    </xf>
    <xf numFmtId="0" fontId="28" fillId="4" borderId="8" applyAlignment="1" pivotButton="0" quotePrefix="0" xfId="0">
      <alignment horizontal="center" vertical="center"/>
    </xf>
    <xf numFmtId="165" fontId="28" fillId="4" borderId="7" applyAlignment="1" pivotButton="0" quotePrefix="0" xfId="0">
      <alignment horizontal="center" vertical="center"/>
    </xf>
    <xf numFmtId="0" fontId="28" fillId="4" borderId="7" applyAlignment="1" pivotButton="0" quotePrefix="0" xfId="0">
      <alignment horizontal="center" vertical="center"/>
    </xf>
    <xf numFmtId="0" fontId="34" fillId="0" borderId="0" applyAlignment="1" pivotButton="0" quotePrefix="0" xfId="0">
      <alignment horizontal="center" vertical="center"/>
    </xf>
    <xf numFmtId="9" fontId="34" fillId="0" borderId="0" applyAlignment="1" pivotButton="0" quotePrefix="0" xfId="3">
      <alignment horizontal="center" vertical="center"/>
    </xf>
    <xf numFmtId="9" fontId="34" fillId="0" borderId="0" applyAlignment="1" pivotButton="0" quotePrefix="0" xfId="3">
      <alignment horizontal="center"/>
    </xf>
    <xf numFmtId="0" fontId="7" fillId="4" borderId="10" applyAlignment="1" pivotButton="0" quotePrefix="0" xfId="0">
      <alignment vertical="center"/>
    </xf>
    <xf numFmtId="0" fontId="7" fillId="4" borderId="15" applyAlignment="1" pivotButton="0" quotePrefix="0" xfId="0">
      <alignment vertical="center"/>
    </xf>
    <xf numFmtId="0" fontId="7" fillId="4" borderId="5" applyAlignment="1" pivotButton="0" quotePrefix="0" xfId="0">
      <alignment vertical="center"/>
    </xf>
    <xf numFmtId="165" fontId="7" fillId="4" borderId="5" applyAlignment="1" pivotButton="0" quotePrefix="0" xfId="0">
      <alignment horizontal="center" vertical="center"/>
    </xf>
    <xf numFmtId="9" fontId="35" fillId="0" borderId="0" applyAlignment="1" pivotButton="0" quotePrefix="0" xfId="3">
      <alignment vertical="center"/>
    </xf>
    <xf numFmtId="9" fontId="35" fillId="0" borderId="0" applyAlignment="1" pivotButton="0" quotePrefix="0" xfId="3">
      <alignment horizontal="center"/>
    </xf>
    <xf numFmtId="166" fontId="7" fillId="9" borderId="5" applyAlignment="1" pivotButton="0" quotePrefix="0" xfId="0">
      <alignment horizontal="center" vertical="center" wrapText="1"/>
    </xf>
    <xf numFmtId="0" fontId="22" fillId="0" borderId="8" applyAlignment="1" pivotButton="0" quotePrefix="0" xfId="0">
      <alignment vertical="center" wrapText="1"/>
    </xf>
    <xf numFmtId="9" fontId="5" fillId="0" borderId="5" applyAlignment="1" pivotButton="0" quotePrefix="0" xfId="0">
      <alignment horizontal="center" vertical="center" wrapText="1"/>
    </xf>
    <xf numFmtId="9" fontId="29" fillId="9" borderId="12" applyAlignment="1" pivotButton="0" quotePrefix="0" xfId="3">
      <alignment horizontal="center" vertical="center" wrapText="1"/>
    </xf>
    <xf numFmtId="166" fontId="7" fillId="9" borderId="7" applyAlignment="1" pivotButton="0" quotePrefix="0" xfId="0">
      <alignment horizontal="center" vertical="center" wrapText="1"/>
    </xf>
    <xf numFmtId="0" fontId="5" fillId="3" borderId="16" applyAlignment="1" pivotButton="0" quotePrefix="0" xfId="0">
      <alignment horizontal="center" vertical="center" wrapText="1"/>
    </xf>
    <xf numFmtId="165" fontId="7" fillId="4" borderId="7" applyAlignment="1" pivotButton="0" quotePrefix="0" xfId="0">
      <alignment horizontal="center" vertical="center"/>
    </xf>
    <xf numFmtId="0" fontId="5" fillId="3" borderId="0" applyAlignment="1" pivotButton="0" quotePrefix="0" xfId="0">
      <alignment horizontal="center" vertical="center" wrapText="1"/>
    </xf>
    <xf numFmtId="9" fontId="5" fillId="3" borderId="8" applyAlignment="1" pivotButton="0" quotePrefix="0" xfId="3">
      <alignment horizontal="center" vertical="center" wrapText="1"/>
    </xf>
    <xf numFmtId="0" fontId="5" fillId="0" borderId="11" applyAlignment="1" pivotButton="0" quotePrefix="0" xfId="0">
      <alignment vertical="center" wrapText="1"/>
    </xf>
    <xf numFmtId="9" fontId="5" fillId="0" borderId="7" applyAlignment="1" pivotButton="0" quotePrefix="0" xfId="0">
      <alignment horizontal="center" vertical="center" wrapText="1"/>
    </xf>
    <xf numFmtId="0" fontId="31" fillId="0" borderId="7" applyAlignment="1" pivotButton="0" quotePrefix="0" xfId="0">
      <alignment horizontal="center" vertical="center" wrapText="1"/>
    </xf>
    <xf numFmtId="0" fontId="4" fillId="9" borderId="5" applyAlignment="1" pivotButton="0" quotePrefix="0" xfId="0">
      <alignment vertical="center" wrapText="1"/>
    </xf>
    <xf numFmtId="0" fontId="5" fillId="9" borderId="27" applyAlignment="1" pivotButton="0" quotePrefix="0" xfId="0">
      <alignment vertical="center"/>
    </xf>
    <xf numFmtId="9" fontId="5" fillId="9" borderId="27" applyAlignment="1" pivotButton="0" quotePrefix="0" xfId="0">
      <alignment horizontal="center" vertical="center"/>
    </xf>
    <xf numFmtId="0" fontId="4" fillId="9" borderId="27" applyAlignment="1" pivotButton="0" quotePrefix="0" xfId="0">
      <alignment horizontal="center" vertical="center" wrapText="1"/>
    </xf>
    <xf numFmtId="0" fontId="5" fillId="3" borderId="13" applyAlignment="1" pivotButton="0" quotePrefix="0" xfId="0">
      <alignment horizontal="center" vertical="center" wrapText="1"/>
    </xf>
    <xf numFmtId="9" fontId="5" fillId="3" borderId="22" applyAlignment="1" pivotButton="0" quotePrefix="0" xfId="3">
      <alignment horizontal="center" vertical="center" wrapText="1"/>
    </xf>
    <xf numFmtId="0" fontId="4" fillId="9" borderId="13" applyAlignment="1" pivotButton="0" quotePrefix="0" xfId="0">
      <alignment horizontal="center" vertical="center" wrapText="1"/>
    </xf>
    <xf numFmtId="9" fontId="5" fillId="9" borderId="5" applyAlignment="1" pivotButton="0" quotePrefix="0" xfId="0">
      <alignment horizontal="center" vertical="center"/>
    </xf>
    <xf numFmtId="0" fontId="29" fillId="11" borderId="28" applyAlignment="1" pivotButton="0" quotePrefix="0" xfId="0">
      <alignment horizontal="center" vertical="center" wrapText="1"/>
    </xf>
    <xf numFmtId="9" fontId="29" fillId="11" borderId="28" applyAlignment="1" pivotButton="0" quotePrefix="0" xfId="0">
      <alignment horizontal="center" vertical="center" wrapText="1"/>
    </xf>
    <xf numFmtId="165" fontId="29" fillId="11" borderId="27" applyAlignment="1" pivotButton="0" quotePrefix="0" xfId="0">
      <alignment horizontal="center" vertical="center"/>
    </xf>
    <xf numFmtId="0" fontId="29" fillId="11" borderId="25" applyAlignment="1" pivotButton="0" quotePrefix="0" xfId="0">
      <alignment horizontal="center" vertical="center"/>
    </xf>
    <xf numFmtId="9" fontId="4" fillId="11" borderId="5" applyAlignment="1" pivotButton="0" quotePrefix="1" xfId="0">
      <alignment vertical="center" wrapText="1"/>
    </xf>
    <xf numFmtId="9" fontId="4" fillId="9" borderId="5" applyAlignment="1" pivotButton="0" quotePrefix="1" xfId="0">
      <alignment vertical="center" wrapText="1"/>
    </xf>
    <xf numFmtId="9" fontId="4" fillId="9" borderId="11" applyAlignment="1" pivotButton="0" quotePrefix="1" xfId="3">
      <alignment horizontal="left" vertical="center" wrapText="1"/>
    </xf>
    <xf numFmtId="0" fontId="4" fillId="9" borderId="5" applyAlignment="1" pivotButton="0" quotePrefix="1" xfId="0">
      <alignment vertical="center" wrapText="1"/>
    </xf>
    <xf numFmtId="0" fontId="29" fillId="11" borderId="5" applyAlignment="1" pivotButton="0" quotePrefix="1" xfId="0">
      <alignment horizontal="left" vertical="center"/>
    </xf>
    <xf numFmtId="9" fontId="22" fillId="9" borderId="5" applyAlignment="1" pivotButton="0" quotePrefix="1" xfId="0">
      <alignment horizontal="center" vertical="center" wrapText="1"/>
    </xf>
    <xf numFmtId="0" fontId="31" fillId="0" borderId="9" applyAlignment="1" pivotButton="0" quotePrefix="1" xfId="0">
      <alignment vertical="center" wrapText="1"/>
    </xf>
    <xf numFmtId="0" fontId="31" fillId="0" borderId="6" applyAlignment="1" pivotButton="0" quotePrefix="1" xfId="0">
      <alignment vertical="center" wrapText="1"/>
    </xf>
    <xf numFmtId="0" fontId="22" fillId="6" borderId="8" applyAlignment="1" pivotButton="0" quotePrefix="1" xfId="0">
      <alignment horizontal="center" vertical="center" wrapText="1"/>
    </xf>
    <xf numFmtId="0" fontId="25" fillId="0" borderId="5" applyAlignment="1" pivotButton="0" quotePrefix="1" xfId="0">
      <alignment vertical="center" wrapText="1"/>
    </xf>
    <xf numFmtId="0" fontId="25" fillId="0" borderId="8" applyAlignment="1" pivotButton="0" quotePrefix="1" xfId="0">
      <alignment vertical="center" wrapText="1"/>
    </xf>
    <xf numFmtId="0" fontId="22" fillId="6" borderId="5" applyAlignment="1" pivotButton="0" quotePrefix="1" xfId="0">
      <alignment vertical="center" wrapText="1"/>
    </xf>
    <xf numFmtId="0" fontId="23" fillId="9" borderId="5" applyAlignment="1" pivotButton="0" quotePrefix="1" xfId="0">
      <alignment vertical="center" wrapText="1"/>
    </xf>
    <xf numFmtId="0" fontId="6" fillId="0" borderId="0" applyAlignment="1" pivotButton="0" quotePrefix="1" xfId="0">
      <alignment horizontal="center" vertical="center" wrapText="1"/>
    </xf>
    <xf numFmtId="0" fontId="6" fillId="0" borderId="1" applyAlignment="1" pivotButton="0" quotePrefix="1" xfId="0">
      <alignment horizontal="left" vertical="center" wrapText="1"/>
    </xf>
    <xf numFmtId="166" fontId="7" fillId="9" borderId="5" applyAlignment="1" pivotButton="0" quotePrefix="0" xfId="0">
      <alignment horizontal="center" vertical="center" wrapText="1"/>
    </xf>
    <xf numFmtId="166" fontId="7" fillId="9" borderId="7" applyAlignment="1" pivotButton="0" quotePrefix="0" xfId="0">
      <alignment horizontal="center" vertical="center" wrapText="1"/>
    </xf>
    <xf numFmtId="165" fontId="29" fillId="11" borderId="27" applyAlignment="1" pivotButton="0" quotePrefix="0" xfId="0">
      <alignment horizontal="center" vertical="center"/>
    </xf>
    <xf numFmtId="165" fontId="29" fillId="11" borderId="7" applyAlignment="1" pivotButton="0" quotePrefix="0" xfId="0">
      <alignment horizontal="center" vertical="center"/>
    </xf>
    <xf numFmtId="165" fontId="4" fillId="0" borderId="5" applyAlignment="1" pivotButton="0" quotePrefix="0" xfId="0">
      <alignment horizontal="center" vertical="center" wrapText="1"/>
    </xf>
    <xf numFmtId="165" fontId="5" fillId="0" borderId="10" applyAlignment="1" pivotButton="0" quotePrefix="0" xfId="0">
      <alignment horizontal="center" vertical="center" wrapText="1"/>
    </xf>
    <xf numFmtId="165" fontId="5" fillId="0" borderId="6" applyAlignment="1" pivotButton="0" quotePrefix="0" xfId="0">
      <alignment horizontal="center" vertical="center" wrapText="1"/>
    </xf>
    <xf numFmtId="165" fontId="4" fillId="11" borderId="5" applyAlignment="1" pivotButton="0" quotePrefix="0" xfId="0">
      <alignment horizontal="center" vertical="center"/>
    </xf>
    <xf numFmtId="165" fontId="4" fillId="11" borderId="6" applyAlignment="1" pivotButton="0" quotePrefix="0" xfId="0">
      <alignment horizontal="center" vertical="center"/>
    </xf>
    <xf numFmtId="165" fontId="5" fillId="0" borderId="5" applyAlignment="1" pivotButton="0" quotePrefix="0" xfId="0">
      <alignment horizontal="center" vertical="center"/>
    </xf>
    <xf numFmtId="165" fontId="5" fillId="0" borderId="10" applyAlignment="1" pivotButton="0" quotePrefix="0" xfId="0">
      <alignment horizontal="center" vertical="center"/>
    </xf>
    <xf numFmtId="165" fontId="5" fillId="0" borderId="6" applyAlignment="1" pivotButton="0" quotePrefix="0" xfId="0">
      <alignment horizontal="center" vertical="center"/>
    </xf>
    <xf numFmtId="165" fontId="7" fillId="4" borderId="7" applyAlignment="1" pivotButton="0" quotePrefix="0" xfId="0">
      <alignment horizontal="center" vertical="center"/>
    </xf>
    <xf numFmtId="165" fontId="28" fillId="4" borderId="7" applyAlignment="1" pivotButton="0" quotePrefix="0" xfId="0">
      <alignment horizontal="center" vertical="center"/>
    </xf>
    <xf numFmtId="165" fontId="7" fillId="4" borderId="5" applyAlignment="1" pivotButton="0" quotePrefix="0" xfId="0">
      <alignment horizontal="center" vertical="center"/>
    </xf>
    <xf numFmtId="165" fontId="29" fillId="11" borderId="10" applyAlignment="1" pivotButton="0" quotePrefix="0" xfId="0">
      <alignment horizontal="center" vertical="center"/>
    </xf>
    <xf numFmtId="165" fontId="29" fillId="11" borderId="5" applyAlignment="1" pivotButton="0" quotePrefix="0" xfId="0">
      <alignment horizontal="center" vertical="center"/>
    </xf>
    <xf numFmtId="0" fontId="57" fillId="0" borderId="0" pivotButton="0" quotePrefix="0" xfId="0"/>
    <xf numFmtId="164" fontId="0" fillId="0" borderId="0" pivotButton="0" quotePrefix="0" xfId="0"/>
    <xf numFmtId="0" fontId="58" fillId="4" borderId="39" applyAlignment="1" pivotButton="0" quotePrefix="0" xfId="0">
      <alignment horizontal="center" vertical="center" wrapText="1"/>
    </xf>
    <xf numFmtId="0" fontId="58" fillId="4" borderId="40" applyAlignment="1" pivotButton="0" quotePrefix="0" xfId="0">
      <alignment horizontal="center" vertical="center" wrapText="1"/>
    </xf>
    <xf numFmtId="0" fontId="58" fillId="4" borderId="41" applyAlignment="1" pivotButton="0" quotePrefix="0" xfId="0">
      <alignment horizontal="center" vertical="center" wrapText="1"/>
    </xf>
    <xf numFmtId="0" fontId="58" fillId="4" borderId="5" applyAlignment="1" pivotButton="0" quotePrefix="0" xfId="0">
      <alignment horizontal="center" vertical="center" wrapText="1"/>
    </xf>
    <xf numFmtId="0" fontId="59" fillId="0" borderId="0" applyAlignment="1" pivotButton="0" quotePrefix="0" xfId="0">
      <alignment vertical="center"/>
    </xf>
    <xf numFmtId="0" fontId="0" fillId="0" borderId="42" pivotButton="0" quotePrefix="0" xfId="0"/>
    <xf numFmtId="0" fontId="58" fillId="4" borderId="43" applyAlignment="1" pivotButton="0" quotePrefix="0" xfId="0">
      <alignment horizontal="center" vertical="center" wrapText="1"/>
    </xf>
    <xf numFmtId="0" fontId="0" fillId="0" borderId="41" pivotButton="0" quotePrefix="0" xfId="0"/>
    <xf numFmtId="9" fontId="58" fillId="4" borderId="7" applyAlignment="1" pivotButton="0" quotePrefix="0" xfId="0">
      <alignment horizontal="center" vertical="center" wrapText="1"/>
    </xf>
    <xf numFmtId="0" fontId="58" fillId="4" borderId="7" applyAlignment="1" pivotButton="0" quotePrefix="0" xfId="0">
      <alignment horizontal="center" vertical="center" wrapText="1"/>
    </xf>
    <xf numFmtId="9" fontId="58" fillId="4" borderId="5" applyAlignment="1" pivotButton="0" quotePrefix="0" xfId="0">
      <alignment horizontal="center" vertical="center" wrapText="1"/>
    </xf>
    <xf numFmtId="0" fontId="60" fillId="11" borderId="39" applyAlignment="1" pivotButton="0" quotePrefix="0" xfId="0">
      <alignment horizontal="center" vertical="center" wrapText="1"/>
    </xf>
    <xf numFmtId="0" fontId="60" fillId="11" borderId="39" applyAlignment="1" pivotButton="0" quotePrefix="0" xfId="0">
      <alignment horizontal="left" vertical="center" wrapText="1"/>
    </xf>
    <xf numFmtId="0" fontId="60" fillId="11" borderId="44" applyAlignment="1" pivotButton="0" quotePrefix="0" xfId="0">
      <alignment horizontal="center" vertical="center" wrapText="1"/>
    </xf>
    <xf numFmtId="9" fontId="61" fillId="11" borderId="5" applyAlignment="1" pivotButton="0" quotePrefix="0" xfId="0">
      <alignment vertical="center" wrapText="1"/>
    </xf>
    <xf numFmtId="0" fontId="60" fillId="11" borderId="45" applyAlignment="1" pivotButton="0" quotePrefix="0" xfId="0">
      <alignment horizontal="center" vertical="center" wrapText="1"/>
    </xf>
    <xf numFmtId="9" fontId="60" fillId="11" borderId="45" applyAlignment="1" pivotButton="0" quotePrefix="0" xfId="0">
      <alignment horizontal="center" vertical="center" wrapText="1"/>
    </xf>
    <xf numFmtId="0" fontId="61" fillId="9" borderId="39" applyAlignment="1" pivotButton="0" quotePrefix="0" xfId="0">
      <alignment horizontal="center" vertical="center" wrapText="1"/>
    </xf>
    <xf numFmtId="0" fontId="62" fillId="9" borderId="10" applyAlignment="1" pivotButton="0" quotePrefix="0" xfId="0">
      <alignment vertical="center" wrapText="1"/>
    </xf>
    <xf numFmtId="0" fontId="61" fillId="9" borderId="8" applyAlignment="1" pivotButton="0" quotePrefix="0" xfId="0">
      <alignment horizontal="center" vertical="center" wrapText="1"/>
    </xf>
    <xf numFmtId="9" fontId="60" fillId="9" borderId="8" applyAlignment="1" pivotButton="0" quotePrefix="0" xfId="0">
      <alignment horizontal="center" vertical="center" wrapText="1"/>
    </xf>
    <xf numFmtId="0" fontId="61" fillId="9" borderId="15" applyAlignment="1" pivotButton="0" quotePrefix="0" xfId="0">
      <alignment vertical="center" wrapText="1"/>
    </xf>
    <xf numFmtId="9" fontId="61" fillId="9" borderId="5" applyAlignment="1" pivotButton="0" quotePrefix="0" xfId="0">
      <alignment vertical="center" wrapText="1"/>
    </xf>
    <xf numFmtId="9" fontId="63" fillId="9" borderId="6" applyAlignment="1" pivotButton="0" quotePrefix="0" xfId="0">
      <alignment horizontal="left" vertical="center" wrapText="1"/>
    </xf>
    <xf numFmtId="9" fontId="63" fillId="9" borderId="5" applyAlignment="1" pivotButton="0" quotePrefix="0" xfId="0">
      <alignment horizontal="center" vertical="center" wrapText="1"/>
    </xf>
    <xf numFmtId="2" fontId="64" fillId="9" borderId="5" applyAlignment="1" pivotButton="0" quotePrefix="0" xfId="0">
      <alignment horizontal="center" vertical="center" wrapText="1"/>
    </xf>
    <xf numFmtId="2" fontId="64" fillId="9" borderId="6" applyAlignment="1" pivotButton="0" quotePrefix="0" xfId="0">
      <alignment horizontal="center" vertical="center" wrapText="1"/>
    </xf>
    <xf numFmtId="0" fontId="64" fillId="9" borderId="6" applyAlignment="1" pivotButton="0" quotePrefix="0" xfId="0">
      <alignment horizontal="center" vertical="center" wrapText="1"/>
    </xf>
    <xf numFmtId="0" fontId="63" fillId="3" borderId="39" applyAlignment="1" pivotButton="0" quotePrefix="0" xfId="0">
      <alignment horizontal="center" vertical="center" wrapText="1"/>
    </xf>
    <xf numFmtId="0" fontId="65" fillId="0" borderId="10" applyAlignment="1" pivotButton="0" quotePrefix="0" xfId="0">
      <alignment vertical="center" wrapText="1"/>
    </xf>
    <xf numFmtId="0" fontId="63" fillId="3" borderId="5" applyAlignment="1" pivotButton="0" quotePrefix="0" xfId="0">
      <alignment horizontal="center" vertical="center" wrapText="1"/>
    </xf>
    <xf numFmtId="9" fontId="63" fillId="3" borderId="5" applyAlignment="1" pivotButton="0" quotePrefix="0" xfId="0">
      <alignment horizontal="center" vertical="center" wrapText="1"/>
    </xf>
    <xf numFmtId="0" fontId="65" fillId="0" borderId="9" applyAlignment="1" pivotButton="0" quotePrefix="0" xfId="0">
      <alignment vertical="center" wrapText="1"/>
    </xf>
    <xf numFmtId="0" fontId="63" fillId="0" borderId="7" applyAlignment="1" pivotButton="0" quotePrefix="0" xfId="0">
      <alignment vertical="center" wrapText="1"/>
    </xf>
    <xf numFmtId="9" fontId="63" fillId="0" borderId="19" applyAlignment="1" pivotButton="0" quotePrefix="0" xfId="0">
      <alignment horizontal="center" vertical="center" wrapText="1"/>
    </xf>
    <xf numFmtId="0" fontId="63" fillId="0" borderId="19" applyAlignment="1" pivotButton="0" quotePrefix="0" xfId="0">
      <alignment horizontal="center" vertical="center" wrapText="1"/>
    </xf>
    <xf numFmtId="0" fontId="65" fillId="0" borderId="19" applyAlignment="1" pivotButton="0" quotePrefix="0" xfId="0">
      <alignment horizontal="center" vertical="center" wrapText="1"/>
    </xf>
    <xf numFmtId="0" fontId="65" fillId="0" borderId="6" applyAlignment="1" pivotButton="0" quotePrefix="0" xfId="0">
      <alignment vertical="center" wrapText="1"/>
    </xf>
    <xf numFmtId="0" fontId="63" fillId="0" borderId="5" applyAlignment="1" pivotButton="0" quotePrefix="0" xfId="0">
      <alignment vertical="center" wrapText="1"/>
    </xf>
    <xf numFmtId="9" fontId="63" fillId="0" borderId="20" applyAlignment="1" pivotButton="0" quotePrefix="0" xfId="0">
      <alignment horizontal="center" vertical="center" wrapText="1"/>
    </xf>
    <xf numFmtId="0" fontId="65" fillId="0" borderId="20" applyAlignment="1" pivotButton="0" quotePrefix="0" xfId="0">
      <alignment horizontal="center" vertical="center" wrapText="1"/>
    </xf>
    <xf numFmtId="0" fontId="65" fillId="0" borderId="12" applyAlignment="1" pivotButton="0" quotePrefix="0" xfId="0">
      <alignment vertical="center" wrapText="1"/>
    </xf>
    <xf numFmtId="0" fontId="63" fillId="0" borderId="8" applyAlignment="1" pivotButton="0" quotePrefix="0" xfId="0">
      <alignment vertical="center" wrapText="1"/>
    </xf>
    <xf numFmtId="9" fontId="63" fillId="0" borderId="9" applyAlignment="1" pivotButton="0" quotePrefix="0" xfId="0">
      <alignment horizontal="center" vertical="center" wrapText="1"/>
    </xf>
    <xf numFmtId="0" fontId="63" fillId="0" borderId="5" applyAlignment="1" pivotButton="0" quotePrefix="0" xfId="0">
      <alignment horizontal="center" vertical="center"/>
    </xf>
    <xf numFmtId="0" fontId="65" fillId="0" borderId="5" applyAlignment="1" pivotButton="0" quotePrefix="0" xfId="0">
      <alignment horizontal="center" vertical="center" wrapText="1"/>
    </xf>
    <xf numFmtId="0" fontId="62" fillId="9" borderId="5" applyAlignment="1" pivotButton="0" quotePrefix="0" xfId="0">
      <alignment vertical="center" wrapText="1"/>
    </xf>
    <xf numFmtId="0" fontId="61" fillId="9" borderId="43" applyAlignment="1" pivotButton="0" quotePrefix="0" xfId="0">
      <alignment horizontal="center" vertical="center" wrapText="1"/>
    </xf>
    <xf numFmtId="0" fontId="66" fillId="9" borderId="15" applyAlignment="1" pivotButton="0" quotePrefix="0" xfId="0">
      <alignment vertical="center" wrapText="1"/>
    </xf>
    <xf numFmtId="9" fontId="61" fillId="9" borderId="11" applyAlignment="1" pivotButton="0" quotePrefix="0" xfId="0">
      <alignment horizontal="left" vertical="center" wrapText="1"/>
    </xf>
    <xf numFmtId="9" fontId="63" fillId="9" borderId="5" applyAlignment="1" pivotButton="0" quotePrefix="0" xfId="0">
      <alignment horizontal="left" vertical="center" wrapText="1"/>
    </xf>
    <xf numFmtId="9" fontId="63" fillId="9" borderId="7" applyAlignment="1" pivotButton="0" quotePrefix="0" xfId="0">
      <alignment horizontal="center" vertical="center" wrapText="1"/>
    </xf>
    <xf numFmtId="0" fontId="64" fillId="9" borderId="7" applyAlignment="1" pivotButton="0" quotePrefix="0" xfId="0">
      <alignment horizontal="center" vertical="center" wrapText="1"/>
    </xf>
    <xf numFmtId="0" fontId="64" fillId="9" borderId="19" applyAlignment="1" pivotButton="0" quotePrefix="0" xfId="0">
      <alignment horizontal="center" vertical="center" wrapText="1"/>
    </xf>
    <xf numFmtId="0" fontId="65" fillId="0" borderId="5" applyAlignment="1" pivotButton="0" quotePrefix="0" xfId="0">
      <alignment vertical="center" wrapText="1"/>
    </xf>
    <xf numFmtId="0" fontId="63" fillId="3" borderId="46" applyAlignment="1" pivotButton="0" quotePrefix="0" xfId="0">
      <alignment horizontal="center" vertical="center" wrapText="1"/>
    </xf>
    <xf numFmtId="0" fontId="63" fillId="0" borderId="15" applyAlignment="1" pivotButton="0" quotePrefix="0" xfId="0">
      <alignment vertical="center"/>
    </xf>
    <xf numFmtId="0" fontId="63" fillId="0" borderId="19" applyAlignment="1" pivotButton="0" quotePrefix="0" xfId="0">
      <alignment horizontal="center" vertical="center"/>
    </xf>
    <xf numFmtId="0" fontId="63" fillId="0" borderId="15" applyAlignment="1" pivotButton="0" quotePrefix="0" xfId="0">
      <alignment vertical="center" wrapText="1"/>
    </xf>
    <xf numFmtId="9" fontId="63" fillId="3" borderId="5" applyAlignment="1" pivotButton="0" quotePrefix="0" xfId="0">
      <alignment horizontal="left" vertical="center" wrapText="1"/>
    </xf>
    <xf numFmtId="0" fontId="63" fillId="0" borderId="6" applyAlignment="1" pivotButton="0" quotePrefix="0" xfId="0">
      <alignment vertical="center" wrapText="1"/>
    </xf>
    <xf numFmtId="0" fontId="63" fillId="0" borderId="20" applyAlignment="1" pivotButton="0" quotePrefix="0" xfId="0">
      <alignment horizontal="center" vertical="center"/>
    </xf>
    <xf numFmtId="0" fontId="61" fillId="9" borderId="46" applyAlignment="1" pivotButton="0" quotePrefix="0" xfId="0">
      <alignment horizontal="center" vertical="center" wrapText="1"/>
    </xf>
    <xf numFmtId="0" fontId="61" fillId="9" borderId="5" applyAlignment="1" pivotButton="0" quotePrefix="0" xfId="0">
      <alignment horizontal="center" vertical="center" wrapText="1"/>
    </xf>
    <xf numFmtId="0" fontId="63" fillId="9" borderId="5" applyAlignment="1" pivotButton="0" quotePrefix="0" xfId="0">
      <alignment vertical="center"/>
    </xf>
    <xf numFmtId="0" fontId="63" fillId="9" borderId="10" applyAlignment="1" pivotButton="0" quotePrefix="0" xfId="0">
      <alignment vertical="center"/>
    </xf>
    <xf numFmtId="9" fontId="63" fillId="9" borderId="10" applyAlignment="1" pivotButton="0" quotePrefix="0" xfId="0">
      <alignment horizontal="center" vertical="center"/>
    </xf>
    <xf numFmtId="0" fontId="61" fillId="9" borderId="10" applyAlignment="1" pivotButton="0" quotePrefix="0" xfId="0">
      <alignment horizontal="center" vertical="center" wrapText="1"/>
    </xf>
    <xf numFmtId="0" fontId="61" fillId="9" borderId="22" applyAlignment="1" pivotButton="0" quotePrefix="0" xfId="0">
      <alignment vertical="center" wrapText="1"/>
    </xf>
    <xf numFmtId="0" fontId="63" fillId="9" borderId="8" applyAlignment="1" pivotButton="0" quotePrefix="0" xfId="0">
      <alignment vertical="center"/>
    </xf>
    <xf numFmtId="0" fontId="63" fillId="9" borderId="11" applyAlignment="1" pivotButton="0" quotePrefix="0" xfId="0">
      <alignment vertical="center"/>
    </xf>
    <xf numFmtId="9" fontId="63" fillId="9" borderId="11" applyAlignment="1" pivotButton="0" quotePrefix="0" xfId="0">
      <alignment horizontal="center" vertical="center"/>
    </xf>
    <xf numFmtId="0" fontId="61" fillId="9" borderId="11" applyAlignment="1" pivotButton="0" quotePrefix="0" xfId="0">
      <alignment horizontal="center" vertical="center" wrapText="1"/>
    </xf>
    <xf numFmtId="0" fontId="67" fillId="9" borderId="8" applyAlignment="1" pivotButton="0" quotePrefix="0" xfId="0">
      <alignment vertical="center" wrapText="1"/>
    </xf>
    <xf numFmtId="0" fontId="63" fillId="0" borderId="5" applyAlignment="1" pivotButton="0" quotePrefix="0" xfId="0">
      <alignment horizontal="center" vertical="center" wrapText="1"/>
    </xf>
    <xf numFmtId="0" fontId="0" fillId="0" borderId="25" pivotButton="0" quotePrefix="0" xfId="0"/>
    <xf numFmtId="0" fontId="60" fillId="11" borderId="39" applyAlignment="1" pivotButton="0" quotePrefix="0" xfId="0">
      <alignment horizontal="center" vertical="center"/>
    </xf>
    <xf numFmtId="0" fontId="60" fillId="11" borderId="46" applyAlignment="1" pivotButton="0" quotePrefix="0" xfId="0">
      <alignment horizontal="left" vertical="center" wrapText="1"/>
    </xf>
    <xf numFmtId="0" fontId="60" fillId="11" borderId="11" applyAlignment="1" pivotButton="0" quotePrefix="0" xfId="0">
      <alignment horizontal="center" vertical="center" wrapText="1"/>
    </xf>
    <xf numFmtId="9" fontId="60" fillId="11" borderId="11" applyAlignment="1" pivotButton="0" quotePrefix="0" xfId="0">
      <alignment horizontal="center" vertical="center" wrapText="1"/>
    </xf>
    <xf numFmtId="0" fontId="60" fillId="11" borderId="5" applyAlignment="1" pivotButton="0" quotePrefix="0" xfId="0">
      <alignment horizontal="left" vertical="center"/>
    </xf>
    <xf numFmtId="0" fontId="58" fillId="11" borderId="6" applyAlignment="1" pivotButton="0" quotePrefix="0" xfId="0">
      <alignment vertical="center" wrapText="1"/>
    </xf>
    <xf numFmtId="0" fontId="58" fillId="11" borderId="5" applyAlignment="1" pivotButton="0" quotePrefix="0" xfId="0">
      <alignment horizontal="center" vertical="center" wrapText="1"/>
    </xf>
    <xf numFmtId="165" fontId="60" fillId="11" borderId="10" applyAlignment="1" pivotButton="0" quotePrefix="0" xfId="0">
      <alignment horizontal="center" vertical="center"/>
    </xf>
    <xf numFmtId="165" fontId="60" fillId="11" borderId="5" applyAlignment="1" pivotButton="0" quotePrefix="0" xfId="0">
      <alignment horizontal="center" vertical="center"/>
    </xf>
    <xf numFmtId="0" fontId="60" fillId="11" borderId="19" applyAlignment="1" pivotButton="0" quotePrefix="0" xfId="0">
      <alignment horizontal="center" vertical="center"/>
    </xf>
    <xf numFmtId="0" fontId="60" fillId="11" borderId="8" applyAlignment="1" pivotButton="0" quotePrefix="0" xfId="0">
      <alignment horizontal="center" vertical="center"/>
    </xf>
    <xf numFmtId="165" fontId="60" fillId="11" borderId="7" applyAlignment="1" pivotButton="0" quotePrefix="0" xfId="0">
      <alignment horizontal="center" vertical="center"/>
    </xf>
    <xf numFmtId="0" fontId="68" fillId="0" borderId="0" applyAlignment="1" pivotButton="0" quotePrefix="0" xfId="0">
      <alignment vertical="center" wrapText="1"/>
    </xf>
    <xf numFmtId="0" fontId="69" fillId="0" borderId="0" applyAlignment="1" pivotButton="0" quotePrefix="0" xfId="0">
      <alignment horizontal="center" vertical="center"/>
    </xf>
    <xf numFmtId="9" fontId="69" fillId="0" borderId="0" applyAlignment="1" pivotButton="0" quotePrefix="0" xfId="0">
      <alignment horizontal="center" vertical="center" wrapText="1"/>
    </xf>
    <xf numFmtId="9" fontId="69" fillId="0" borderId="0" applyAlignment="1" pivotButton="0" quotePrefix="0" xfId="0">
      <alignment horizontal="center" vertical="center"/>
    </xf>
    <xf numFmtId="0" fontId="63" fillId="0" borderId="39" applyAlignment="1" pivotButton="0" quotePrefix="0" xfId="0">
      <alignment horizontal="center" vertical="center"/>
    </xf>
    <xf numFmtId="0" fontId="63" fillId="0" borderId="46" applyAlignment="1" pivotButton="0" quotePrefix="0" xfId="0">
      <alignment vertical="center" wrapText="1"/>
    </xf>
    <xf numFmtId="9" fontId="63" fillId="0" borderId="5" applyAlignment="1" pivotButton="0" quotePrefix="0" xfId="0">
      <alignment horizontal="center" vertical="center"/>
    </xf>
    <xf numFmtId="0" fontId="63" fillId="0" borderId="47" applyAlignment="1" pivotButton="0" quotePrefix="0" xfId="0">
      <alignment horizontal="left" vertical="center" wrapText="1"/>
    </xf>
    <xf numFmtId="0" fontId="61" fillId="0" borderId="5" applyAlignment="1" pivotButton="0" quotePrefix="0" xfId="0">
      <alignment vertical="center" wrapText="1"/>
    </xf>
    <xf numFmtId="0" fontId="61" fillId="0" borderId="5" applyAlignment="1" pivotButton="0" quotePrefix="0" xfId="0">
      <alignment horizontal="center" vertical="center" wrapText="1"/>
    </xf>
    <xf numFmtId="165" fontId="61" fillId="0" borderId="5" applyAlignment="1" pivotButton="0" quotePrefix="0" xfId="0">
      <alignment horizontal="center" vertical="center" wrapText="1"/>
    </xf>
    <xf numFmtId="9" fontId="61" fillId="0" borderId="5" applyAlignment="1" pivotButton="0" quotePrefix="0" xfId="0">
      <alignment horizontal="center" vertical="center" wrapText="1"/>
    </xf>
    <xf numFmtId="0" fontId="63" fillId="0" borderId="7" applyAlignment="1" pivotButton="0" quotePrefix="0" xfId="0">
      <alignment horizontal="center" vertical="center" wrapText="1"/>
    </xf>
    <xf numFmtId="165" fontId="63" fillId="0" borderId="10" applyAlignment="1" pivotButton="0" quotePrefix="0" xfId="0">
      <alignment horizontal="center" vertical="center" wrapText="1"/>
    </xf>
    <xf numFmtId="165" fontId="63" fillId="0" borderId="6" applyAlignment="1" pivotButton="0" quotePrefix="0" xfId="0">
      <alignment horizontal="center" vertical="center" wrapText="1"/>
    </xf>
    <xf numFmtId="0" fontId="70" fillId="0" borderId="0" applyAlignment="1" pivotButton="0" quotePrefix="0" xfId="0">
      <alignment horizontal="center" vertical="center"/>
    </xf>
    <xf numFmtId="9" fontId="70" fillId="0" borderId="0" applyAlignment="1" pivotButton="0" quotePrefix="0" xfId="0">
      <alignment horizontal="center" vertical="center"/>
    </xf>
    <xf numFmtId="0" fontId="0" fillId="0" borderId="47" pivotButton="0" quotePrefix="0" xfId="0"/>
    <xf numFmtId="0" fontId="60" fillId="11" borderId="48" applyAlignment="1" pivotButton="0" quotePrefix="0" xfId="0">
      <alignment horizontal="center" vertical="center" wrapText="1"/>
    </xf>
    <xf numFmtId="9" fontId="60" fillId="11" borderId="25" applyAlignment="1" pivotButton="0" quotePrefix="0" xfId="0">
      <alignment horizontal="center" vertical="center" wrapText="1"/>
    </xf>
    <xf numFmtId="0" fontId="60" fillId="11" borderId="49" applyAlignment="1" pivotButton="0" quotePrefix="0" xfId="0">
      <alignment horizontal="left" vertical="center"/>
    </xf>
    <xf numFmtId="0" fontId="61" fillId="11" borderId="5" applyAlignment="1" pivotButton="0" quotePrefix="0" xfId="0">
      <alignment vertical="center" wrapText="1"/>
    </xf>
    <xf numFmtId="0" fontId="61" fillId="11" borderId="5" applyAlignment="1" pivotButton="0" quotePrefix="0" xfId="0">
      <alignment horizontal="center" vertical="center" wrapText="1"/>
    </xf>
    <xf numFmtId="165" fontId="61" fillId="11" borderId="5" applyAlignment="1" pivotButton="0" quotePrefix="0" xfId="0">
      <alignment horizontal="center" vertical="center"/>
    </xf>
    <xf numFmtId="0" fontId="61" fillId="11" borderId="5" applyAlignment="1" pivotButton="0" quotePrefix="0" xfId="0">
      <alignment horizontal="center" vertical="center"/>
    </xf>
    <xf numFmtId="0" fontId="61" fillId="11" borderId="10" applyAlignment="1" pivotButton="0" quotePrefix="0" xfId="0">
      <alignment horizontal="center" vertical="center"/>
    </xf>
    <xf numFmtId="165" fontId="61" fillId="11" borderId="6" applyAlignment="1" pivotButton="0" quotePrefix="0" xfId="0">
      <alignment horizontal="center" vertical="center"/>
    </xf>
    <xf numFmtId="0" fontId="63" fillId="0" borderId="50" applyAlignment="1" pivotButton="0" quotePrefix="0" xfId="0">
      <alignment horizontal="left" vertical="center" wrapText="1"/>
    </xf>
    <xf numFmtId="165" fontId="63" fillId="0" borderId="5" applyAlignment="1" pivotButton="0" quotePrefix="0" xfId="0">
      <alignment horizontal="center" vertical="center"/>
    </xf>
    <xf numFmtId="165" fontId="63" fillId="0" borderId="10" applyAlignment="1" pivotButton="0" quotePrefix="0" xfId="0">
      <alignment horizontal="center" vertical="center"/>
    </xf>
    <xf numFmtId="165" fontId="63" fillId="0" borderId="6" applyAlignment="1" pivotButton="0" quotePrefix="0" xfId="0">
      <alignment horizontal="center" vertical="center"/>
    </xf>
    <xf numFmtId="0" fontId="63" fillId="0" borderId="44" applyAlignment="1" pivotButton="0" quotePrefix="0" xfId="0">
      <alignment horizontal="center" vertical="center"/>
    </xf>
    <xf numFmtId="0" fontId="63" fillId="0" borderId="40" applyAlignment="1" pivotButton="0" quotePrefix="0" xfId="0">
      <alignment vertical="center" wrapText="1"/>
    </xf>
    <xf numFmtId="0" fontId="58" fillId="4" borderId="5" applyAlignment="1" pivotButton="0" quotePrefix="0" xfId="0">
      <alignment horizontal="left" vertical="center"/>
    </xf>
    <xf numFmtId="0" fontId="58" fillId="4" borderId="25" applyAlignment="1" pivotButton="0" quotePrefix="0" xfId="0">
      <alignment horizontal="center" vertical="center"/>
    </xf>
    <xf numFmtId="0" fontId="58" fillId="4" borderId="8" applyAlignment="1" pivotButton="0" quotePrefix="0" xfId="0">
      <alignment horizontal="center" vertical="center"/>
    </xf>
    <xf numFmtId="165" fontId="58" fillId="4" borderId="7" applyAlignment="1" pivotButton="0" quotePrefix="0" xfId="0">
      <alignment horizontal="center" vertical="center"/>
    </xf>
    <xf numFmtId="0" fontId="58" fillId="4" borderId="7" applyAlignment="1" pivotButton="0" quotePrefix="0" xfId="0">
      <alignment horizontal="center" vertical="center"/>
    </xf>
    <xf numFmtId="0" fontId="71" fillId="0" borderId="0" applyAlignment="1" pivotButton="0" quotePrefix="0" xfId="0">
      <alignment horizontal="center" vertical="center"/>
    </xf>
    <xf numFmtId="9" fontId="71" fillId="0" borderId="0" applyAlignment="1" pivotButton="0" quotePrefix="0" xfId="0">
      <alignment horizontal="center" vertical="center"/>
    </xf>
    <xf numFmtId="9" fontId="71" fillId="0" borderId="0" applyAlignment="1" pivotButton="0" quotePrefix="0" xfId="0">
      <alignment horizontal="center"/>
    </xf>
    <xf numFmtId="0" fontId="64" fillId="4" borderId="10" applyAlignment="1" pivotButton="0" quotePrefix="0" xfId="0">
      <alignment vertical="center"/>
    </xf>
    <xf numFmtId="0" fontId="64" fillId="4" borderId="15" applyAlignment="1" pivotButton="0" quotePrefix="0" xfId="0">
      <alignment vertical="center"/>
    </xf>
    <xf numFmtId="0" fontId="64" fillId="4" borderId="5" applyAlignment="1" pivotButton="0" quotePrefix="0" xfId="0">
      <alignment vertical="center"/>
    </xf>
    <xf numFmtId="165" fontId="64" fillId="4" borderId="5" applyAlignment="1" pivotButton="0" quotePrefix="0" xfId="0">
      <alignment horizontal="center" vertical="center"/>
    </xf>
    <xf numFmtId="9" fontId="72" fillId="0" borderId="0" applyAlignment="1" pivotButton="0" quotePrefix="0" xfId="0">
      <alignment vertical="center"/>
    </xf>
    <xf numFmtId="9" fontId="72" fillId="0" borderId="0" applyAlignment="1" pivotButton="0" quotePrefix="0" xfId="0">
      <alignment horizontal="center"/>
    </xf>
    <xf numFmtId="0" fontId="73" fillId="0" borderId="8" applyAlignment="1" pivotButton="0" quotePrefix="0" xfId="0">
      <alignment horizontal="center" vertical="center" wrapText="1"/>
    </xf>
    <xf numFmtId="0" fontId="74" fillId="0" borderId="8" applyAlignment="1" pivotButton="0" quotePrefix="0" xfId="0">
      <alignment vertical="center" wrapText="1"/>
    </xf>
    <xf numFmtId="0" fontId="75" fillId="43" borderId="5" applyAlignment="1" pivotButton="0" quotePrefix="0" xfId="0">
      <alignment horizontal="right" vertical="center" wrapText="1"/>
    </xf>
    <xf numFmtId="0" fontId="75" fillId="43" borderId="5" applyAlignment="1" pivotButton="0" quotePrefix="0" xfId="0">
      <alignment vertical="center" wrapText="1"/>
    </xf>
    <xf numFmtId="9" fontId="75" fillId="43" borderId="5" applyAlignment="1" pivotButton="0" quotePrefix="0" xfId="0">
      <alignment vertical="center" wrapText="1"/>
    </xf>
    <xf numFmtId="0" fontId="76" fillId="44" borderId="7" applyAlignment="1" pivotButton="0" quotePrefix="0" xfId="0">
      <alignment vertical="center" wrapText="1"/>
    </xf>
    <xf numFmtId="0" fontId="17" fillId="44" borderId="7" applyAlignment="1" pivotButton="0" quotePrefix="0" xfId="0">
      <alignment vertical="center" wrapText="1"/>
    </xf>
    <xf numFmtId="9" fontId="76" fillId="44" borderId="7" applyAlignment="1" pivotButton="0" quotePrefix="0" xfId="0">
      <alignment vertical="center" wrapText="1"/>
    </xf>
    <xf numFmtId="0" fontId="59" fillId="0" borderId="5" applyAlignment="1" pivotButton="0" quotePrefix="0" xfId="0">
      <alignment vertical="center" wrapText="1"/>
    </xf>
    <xf numFmtId="0" fontId="77" fillId="0" borderId="5" applyAlignment="1" pivotButton="0" quotePrefix="0" xfId="0">
      <alignment vertical="center" wrapText="1"/>
    </xf>
    <xf numFmtId="0" fontId="59" fillId="0" borderId="8" applyAlignment="1" pivotButton="0" quotePrefix="0" xfId="0">
      <alignment vertical="center" wrapText="1"/>
    </xf>
    <xf numFmtId="0" fontId="76" fillId="44" borderId="5" applyAlignment="1" pivotButton="0" quotePrefix="0" xfId="0">
      <alignment vertical="center" wrapText="1"/>
    </xf>
    <xf numFmtId="0" fontId="17" fillId="44" borderId="5" applyAlignment="1" pivotButton="0" quotePrefix="0" xfId="0">
      <alignment vertical="center" wrapText="1"/>
    </xf>
    <xf numFmtId="9" fontId="76" fillId="44" borderId="5" applyAlignment="1" pivotButton="0" quotePrefix="0" xfId="0">
      <alignment vertical="center" wrapText="1"/>
    </xf>
    <xf numFmtId="0" fontId="59" fillId="0" borderId="5" applyAlignment="1" pivotButton="0" quotePrefix="0" xfId="0">
      <alignment vertical="center"/>
    </xf>
    <xf numFmtId="9" fontId="78" fillId="44" borderId="5" applyAlignment="1" pivotButton="0" quotePrefix="0" xfId="0">
      <alignment vertical="center" wrapText="1"/>
    </xf>
    <xf numFmtId="0" fontId="61" fillId="9" borderId="5" applyAlignment="1" pivotButton="0" quotePrefix="0" xfId="0">
      <alignment vertical="center" wrapText="1"/>
    </xf>
    <xf numFmtId="0" fontId="63" fillId="0" borderId="19" applyAlignment="1" pivotButton="0" quotePrefix="0" xfId="0">
      <alignment vertical="center" wrapText="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Hyperlink" xfId="49"/>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0000"/>
    <outlinePr summaryBelow="1" summaryRight="1"/>
    <pageSetUpPr/>
  </sheetPr>
  <dimension ref="A1:T39"/>
  <sheetViews>
    <sheetView zoomScale="70" zoomScaleNormal="70" workbookViewId="0">
      <pane xSplit="4" ySplit="2" topLeftCell="F17" activePane="bottomRight" state="frozen"/>
      <selection activeCell="A1" sqref="A1"/>
      <selection pane="topRight" activeCell="A1" sqref="A1"/>
      <selection pane="bottomLeft" activeCell="A1" sqref="A1"/>
      <selection pane="bottomRight" activeCell="A18" sqref="A18"/>
    </sheetView>
  </sheetViews>
  <sheetFormatPr baseColWidth="8" defaultColWidth="9.142857142857141" defaultRowHeight="15"/>
  <cols>
    <col width="9.142857142857141" customWidth="1" style="122" min="1" max="1"/>
    <col width="37.2857142857143" customWidth="1" min="2" max="2"/>
    <col width="19.1428571428571" customWidth="1" min="3" max="3"/>
    <col width="17.7142857142857" customWidth="1" min="4" max="4"/>
    <col width="67.71428571428569" customWidth="1" min="5" max="5"/>
    <col width="41.2857142857143" customWidth="1" min="6" max="6"/>
    <col width="74.28571428571431" customWidth="1" min="7" max="7"/>
    <col width="16" customWidth="1" style="122" min="8" max="9"/>
    <col width="18.7142857142857" customWidth="1" style="122" min="10" max="10"/>
    <col width="27.4285714285714" customWidth="1" style="122" min="11" max="11"/>
    <col width="18.2857142857143" customWidth="1" style="122" min="12" max="12"/>
    <col width="18.4285714285714" customWidth="1" style="122" min="13" max="13"/>
    <col width="17.7142857142857" customWidth="1" style="122" min="14" max="14"/>
    <col width="35.4285714285714" customWidth="1" style="122" min="15" max="15"/>
  </cols>
  <sheetData>
    <row r="1" ht="36.75" customHeight="1">
      <c r="A1" s="123" t="inlineStr">
        <is>
          <t>STT</t>
        </is>
      </c>
      <c r="B1" s="123" t="inlineStr">
        <is>
          <t>CHỈ TIÊU</t>
        </is>
      </c>
      <c r="C1" s="123" t="inlineStr">
        <is>
          <t>Kế hoạch (Điểm)</t>
        </is>
      </c>
      <c r="D1" s="123" t="inlineStr">
        <is>
          <t>Trọng số</t>
        </is>
      </c>
      <c r="E1" s="124" t="inlineStr">
        <is>
          <t>MÔ TẢ THƯỚC ĐO CHỈ TIÊU</t>
        </is>
      </c>
      <c r="F1" s="125" t="inlineStr">
        <is>
          <t>Công thức Tính</t>
        </is>
      </c>
      <c r="G1" s="125" t="inlineStr">
        <is>
          <t>Công thức Tính (Thang điểm 10)</t>
        </is>
      </c>
      <c r="H1" s="126" t="inlineStr">
        <is>
          <t>NHÂN VIÊN ĐÁNH GIÁ</t>
        </is>
      </c>
      <c r="I1" s="127" t="n"/>
      <c r="J1" s="127" t="n"/>
      <c r="K1" s="27" t="n"/>
      <c r="L1" s="126" t="inlineStr">
        <is>
          <t>CBQL ĐÁNH GIÁ</t>
        </is>
      </c>
      <c r="M1" s="127" t="n"/>
      <c r="N1" s="127" t="n"/>
      <c r="O1" s="27" t="n"/>
      <c r="P1" s="128" t="n"/>
      <c r="Q1" s="128" t="n"/>
      <c r="R1" s="128" t="n"/>
      <c r="S1" s="128" t="n"/>
    </row>
    <row r="2" ht="72" customHeight="1">
      <c r="A2" s="17" t="n"/>
      <c r="B2" s="123" t="inlineStr">
        <is>
          <t>Hạng mục</t>
        </is>
      </c>
      <c r="C2" s="17" t="n"/>
      <c r="D2" s="17" t="n"/>
      <c r="E2" s="129" t="n"/>
      <c r="F2" s="130" t="n"/>
      <c r="G2" s="130" t="n"/>
      <c r="H2" s="131" t="inlineStr">
        <is>
          <t>Thực đạt (Tiêu chí B,C)</t>
        </is>
      </c>
      <c r="I2" s="131" t="inlineStr">
        <is>
          <t>Điểm đạt = Thực đạt/Kế hoạch (Tiêu chí B,C)</t>
        </is>
      </c>
      <c r="J2" s="131" t="inlineStr">
        <is>
          <t>Tỷ lệ hoàn thành (Tiêu chí A)</t>
        </is>
      </c>
      <c r="K2" s="132" t="inlineStr">
        <is>
          <t>Điểm KPIs (Tính theo công thức của tùng loại tiêu chí)</t>
        </is>
      </c>
      <c r="L2" s="133" t="inlineStr">
        <is>
          <t>Thực đạt (Tiêu chí B,C)</t>
        </is>
      </c>
      <c r="M2" s="133" t="inlineStr">
        <is>
          <t>Điểm đạt = Thực đạt/Kế hoạch (Tiêu chí B,C)</t>
        </is>
      </c>
      <c r="N2" s="133" t="inlineStr">
        <is>
          <t>Tỷ lệ hoàn thành (Tiêu chí A)</t>
        </is>
      </c>
      <c r="O2" s="126" t="inlineStr">
        <is>
          <t>Điểm KPIs (Tính theo công thức của tùng loại tiêu chí)</t>
        </is>
      </c>
      <c r="P2" s="128" t="n"/>
      <c r="Q2" s="128" t="n"/>
      <c r="R2" s="128" t="n"/>
      <c r="S2" s="128" t="n"/>
    </row>
    <row r="3" ht="101.25" customHeight="1">
      <c r="A3" s="134" t="inlineStr">
        <is>
          <t xml:space="preserve">A. </t>
        </is>
      </c>
      <c r="B3" s="135" t="inlineStr">
        <is>
          <t>HIỆU QUẢ CÔNG VIỆC (TỶ TRỌNG: Max = 75%)</t>
        </is>
      </c>
      <c r="C3" s="136" t="n"/>
      <c r="D3" s="136" t="n"/>
      <c r="E3" s="136" t="n"/>
      <c r="F3" s="281" t="inlineStr">
        <is>
          <t>= 10% x Operational Delivery+ 20% x System Reliability + 10% x Business Knowledge &amp; Capability + 15% x Service &amp; Collaboration + 20% x Continuous Improvement</t>
        </is>
      </c>
      <c r="G3" s="136" t="n"/>
      <c r="H3" s="138" t="n"/>
      <c r="I3" s="138" t="n"/>
      <c r="J3" s="138" t="n"/>
      <c r="K3" s="139">
        <f>(0.3*K4+0.25*K9+0.1*K14+0.1*K19)/10</f>
        <v/>
      </c>
      <c r="L3" s="139" t="n"/>
      <c r="M3" s="138" t="n"/>
      <c r="N3" s="138" t="n"/>
      <c r="O3" s="139">
        <f>(0.3*O4+0.25*O9+0.1*O14+0.1*O19)/10</f>
        <v/>
      </c>
      <c r="P3" s="128" t="n"/>
      <c r="Q3" s="128" t="n"/>
      <c r="R3" s="128" t="n"/>
      <c r="S3" s="128" t="n"/>
    </row>
    <row r="4" ht="122.25" customHeight="1">
      <c r="A4" s="140" t="n">
        <v>1</v>
      </c>
      <c r="B4" s="141" t="inlineStr">
        <is>
          <t>Operational Delivery (Hiệu quả thực hiện công việc): 10%</t>
        </is>
      </c>
      <c r="C4" s="142" t="n"/>
      <c r="D4" s="143" t="n"/>
      <c r="E4" s="144" t="inlineStr">
        <is>
          <t>Đánh giá mức độ hoàn thành các công việc được giao đúng phạm vi, đúng tiến độ và đúng cam kết. KPI này tập trung vào khả năng hoàn thành công việc, không đánh giá chất lượng nghiệp vụ hay khả năng phối hợp.</t>
        </is>
      </c>
      <c r="F4" s="282" t="inlineStr">
        <is>
          <t>= 40% x Hoàn thành công việc đúng tiến độ + 20% x Hoàn thành Checklist vận hành + 25% x Hoàn thành công việc phát sinh + 15% x Phản hồi yêu cầu hỗ trợ</t>
        </is>
      </c>
      <c r="G4" s="146" t="n"/>
      <c r="H4" s="147" t="n"/>
      <c r="I4" s="147" t="n"/>
      <c r="J4" s="147" t="n"/>
      <c r="K4" s="296">
        <f>0.4*K5+0.2*K6+0.25*K7+0.15*K8</f>
        <v/>
      </c>
      <c r="L4" s="149" t="n"/>
      <c r="M4" s="150" t="n"/>
      <c r="N4" s="150" t="n"/>
      <c r="O4" s="150">
        <f>0.4*O5+0.2*O6+0.25*O7+0.15*O8</f>
        <v/>
      </c>
      <c r="P4" s="128" t="n"/>
      <c r="Q4" s="128" t="n"/>
      <c r="R4" s="128" t="n"/>
      <c r="S4" s="128" t="n"/>
    </row>
    <row r="5" ht="152.45" customHeight="1">
      <c r="A5" s="151" t="n">
        <v>1.1</v>
      </c>
      <c r="B5" s="81" t="inlineStr">
        <is>
          <t>Hoàn thành công việc đúng tiến độ</t>
        </is>
      </c>
      <c r="C5" s="153" t="n"/>
      <c r="D5" s="154" t="n"/>
      <c r="E5" s="82" t="inlineStr">
        <is>
          <t xml:space="preserve">Đảm bảo hoàn thành các công việc được giao đúng thời hạn.
Đánh giá: Công việc hoàn thành đúng deadline đã thống nhất.
Không đánh giá: Chậm do thay đổi yêu cầu hoặc phụ thuộc phòng ban khác được quản lý xác nhận.
</t>
        </is>
      </c>
      <c r="F5" s="156" t="n"/>
      <c r="G5" s="83" t="inlineStr">
        <is>
          <t xml:space="preserve">| % hoàn thành   |   Điểm 
| 95% - 100% |  10 |
| 90% - &lt;95% |   9 |
| 80% - &lt;90%  |  8 | 
| 70% - &lt;80% |  6 |
| &lt;70%      |  5 | 
</t>
        </is>
      </c>
      <c r="H5" s="157" t="n"/>
      <c r="I5" s="158" t="n"/>
      <c r="J5" s="157" t="n">
        <v>1</v>
      </c>
      <c r="K5" s="159" t="n">
        <v>10</v>
      </c>
      <c r="L5" s="157" t="n"/>
      <c r="M5" s="157" t="n"/>
      <c r="N5" s="157" t="n">
        <v>0.95</v>
      </c>
      <c r="O5" s="159" t="n">
        <v>8</v>
      </c>
      <c r="P5" s="128" t="n"/>
      <c r="Q5" s="128" t="n"/>
      <c r="R5" s="128" t="n"/>
      <c r="S5" s="128" t="n"/>
    </row>
    <row r="6" ht="130.5" customHeight="1">
      <c r="A6" s="151" t="n">
        <v>1.2</v>
      </c>
      <c r="B6" s="81" t="inlineStr">
        <is>
          <t xml:space="preserve">Hoàn thành Checklist vận hành </t>
        </is>
      </c>
      <c r="C6" s="153" t="n"/>
      <c r="D6" s="154" t="n"/>
      <c r="E6" s="82" t="inlineStr">
        <is>
          <t>Thực hiện đầy đủ các checklist vận hành theo quy định
Đánh giá: Checklist ngày/tuần/tháng.
Không đánh giá: Checklist được quản lý hủy bỏ.</t>
        </is>
      </c>
      <c r="F6" s="156" t="n"/>
      <c r="G6" s="83" t="inlineStr">
        <is>
          <t xml:space="preserve">| % hoàn thành   |   Điểm 
| 95% - 100% |  10 |
| 90% - &lt;95% |   9 |
| 80% - &lt;90%  |  8 | 
| 70% - &lt;80% |  6 |
| &lt;70%      |  5 | 
</t>
        </is>
      </c>
      <c r="H6" s="157" t="n"/>
      <c r="I6" s="157" t="n"/>
      <c r="J6" s="162" t="n">
        <v>0.99</v>
      </c>
      <c r="K6" s="163" t="n">
        <v>10</v>
      </c>
      <c r="L6" s="157" t="n"/>
      <c r="M6" s="157" t="n"/>
      <c r="N6" s="157" t="n">
        <v>0.95</v>
      </c>
      <c r="O6" s="159" t="n">
        <v>8</v>
      </c>
      <c r="P6" s="128" t="n"/>
      <c r="Q6" s="128" t="n"/>
      <c r="R6" s="128" t="n"/>
      <c r="S6" s="128" t="n"/>
    </row>
    <row r="7" ht="170.25" customHeight="1">
      <c r="A7" s="151" t="n">
        <v>1.3</v>
      </c>
      <c r="B7" s="81" t="inlineStr">
        <is>
          <t>Hoàn thành công việc phát sinh</t>
        </is>
      </c>
      <c r="C7" s="153" t="n"/>
      <c r="D7" s="154" t="n"/>
      <c r="E7" s="82" t="inlineStr">
        <is>
          <t>Xử lý các công việc ngoài kế hoạch được giao
Đánh giá: Công việc được quản lý giao chính thức.
Không đánh giá: Công việc ngoài phạm vi Operator.</t>
        </is>
      </c>
      <c r="F7" s="161" t="n"/>
      <c r="G7" s="83" t="inlineStr">
        <is>
          <t xml:space="preserve">| % hoàn thành   |   Điểm 
| 95% - 100% |  10 |
| 90% - &lt;95% |   9 |
| 80% - &lt;90%  |  8 | 
| 70% - &lt;80% |  6 |
| &lt;70%      |  5 | 
</t>
        </is>
      </c>
      <c r="H7" s="157" t="n"/>
      <c r="I7" s="166" t="n"/>
      <c r="J7" s="259" t="inlineStr">
        <is>
          <t>x</t>
        </is>
      </c>
      <c r="K7" s="168" t="n">
        <v>10</v>
      </c>
      <c r="L7" s="157" t="n"/>
      <c r="M7" s="157" t="n"/>
      <c r="N7" s="157" t="inlineStr">
        <is>
          <t>x</t>
        </is>
      </c>
      <c r="O7" s="159" t="n">
        <v>8</v>
      </c>
      <c r="P7" s="128" t="n"/>
      <c r="Q7" s="128" t="n"/>
      <c r="R7" s="128" t="n"/>
      <c r="S7" s="128" t="n"/>
    </row>
    <row r="8" ht="170.25" customHeight="1">
      <c r="A8" s="151" t="n">
        <v>1.4</v>
      </c>
      <c r="B8" s="81" t="inlineStr">
        <is>
          <t xml:space="preserve">Phản hồi yêu cầu hỗ trợ </t>
        </is>
      </c>
      <c r="C8" s="264" t="n"/>
      <c r="D8" s="265" t="n"/>
      <c r="E8" s="82" t="inlineStr">
        <is>
          <t>Chủ động phản hồi các yêu cầu hỗ trợ từ các phòng ban
Đánh giá: Lịch sử trao đổi và xác nhận của quản lý.
Không đánh giá: Chờ phản hồi từ phòng ban khác.</t>
        </is>
      </c>
      <c r="F8" s="266" t="n"/>
      <c r="G8" s="81" t="inlineStr">
        <is>
          <t xml:space="preserve">|   Điểm  | Mô tả      
| 10 | Luôn hoàn thành đầy đủ công việc đúng tiến độ, chủ động nhận việc và không để tồn đọng; chất lượng ổn định, hầu như không cần nhắc nhở.
|  9 | Hoàn thành đầy đủ hầu hết công việc, chỉ có rất ít trường hợp chậm tiến độ hoặc cần nhắc nhở.  
|  8 | Hoàn thành phần lớn công việc theo yêu cầu; đôi khi cần hỗ trợ hoặc nhắc nhở nhưng không ảnh hưởng đến kết quả chung.  
|  6 | Thường xuyên chậm tiến độ, còn để tồn đọng hoặc cần theo dõi sát để hoàn thành công việc.     
|  &lt;5 | Không hoàn thành nhiệm vụ được giao hoặc ảnh hưởng nghiêm trọng đến tiến độ, kết quả chung.   
</t>
        </is>
      </c>
      <c r="H8" s="157" t="n"/>
      <c r="I8" s="166" t="n"/>
      <c r="J8" s="267" t="inlineStr">
        <is>
          <t>x</t>
        </is>
      </c>
      <c r="K8" s="268" t="n">
        <v>10</v>
      </c>
      <c r="L8" s="157" t="n"/>
      <c r="M8" s="157" t="n"/>
      <c r="N8" s="157" t="inlineStr">
        <is>
          <t>x</t>
        </is>
      </c>
      <c r="O8" s="159" t="n">
        <v>10</v>
      </c>
      <c r="P8" s="128" t="n"/>
      <c r="Q8" s="128" t="n"/>
      <c r="R8" s="128" t="n"/>
      <c r="S8" s="128" t="n"/>
    </row>
    <row r="9" ht="132.75" customHeight="1">
      <c r="A9" s="140" t="n">
        <v>2</v>
      </c>
      <c r="B9" s="141" t="inlineStr">
        <is>
          <t>System Reliability (Đảm bảo hệ thống vận hành ổn định): 20%</t>
        </is>
      </c>
      <c r="C9" s="186" t="n"/>
      <c r="D9" s="260" t="n"/>
      <c r="E9" s="171" t="inlineStr">
        <is>
          <t>Đánh giá khả năng duy trì hệ thống hoạt động ổn định, an toàn và liên tục; chủ động giám sát, phát hiện và xử lý các sự cố trong phạm vi trách nhiệm.</t>
        </is>
      </c>
      <c r="F9" s="283" t="inlineStr">
        <is>
          <t>= 30% x Kiểm tra hệ thống định kỳ + 25% x Tuân thủ quy trình + 20% x  Giám sát hệ thống + 25% x  Xử lý sự cố (Incident)</t>
        </is>
      </c>
      <c r="G9" s="173" t="n"/>
      <c r="H9" s="147" t="n"/>
      <c r="I9" s="147" t="n"/>
      <c r="J9" s="174" t="n"/>
      <c r="K9" s="297">
        <f>0.3*K10+0.25*K11+0.2*K12+0.25*K13</f>
        <v/>
      </c>
      <c r="L9" s="176" t="n"/>
      <c r="M9" s="150" t="n"/>
      <c r="N9" s="150" t="n"/>
      <c r="O9" s="150">
        <f>0.3*O10+0.25*O11+0.2*O12+0.25*O13</f>
        <v/>
      </c>
      <c r="P9" s="128" t="n"/>
      <c r="Q9" s="128" t="n"/>
      <c r="R9" s="128" t="n"/>
      <c r="S9" s="128" t="n"/>
    </row>
    <row r="10" ht="95.25" customHeight="1">
      <c r="A10" s="151" t="n">
        <v>2.1</v>
      </c>
      <c r="B10" s="81" t="inlineStr">
        <is>
          <t>Kiểm tra hệ thống định kỳ</t>
        </is>
      </c>
      <c r="C10" s="262" t="n"/>
      <c r="D10" s="154" t="n"/>
      <c r="E10" s="81" t="inlineStr">
        <is>
          <t>Thực hiện đầy đủ các hoạt động kiểm tra theo kế hoạch.
Theo kế hoạch vận hành</t>
        </is>
      </c>
      <c r="F10" s="161" t="n"/>
      <c r="G10" s="83" t="inlineStr">
        <is>
          <t xml:space="preserve">| % hoàn thành   |   Điểm 
| 95% - 100% |  10 |
| 90% - &lt;95% |   9 |
| 80% - &lt;90%  |  8 | 
| 70% - &lt;80% |  6 |
| &lt;70%      |  5 | 
</t>
        </is>
      </c>
      <c r="H10" s="157" t="n"/>
      <c r="I10" s="157" t="n"/>
      <c r="J10" s="157" t="inlineStr">
        <is>
          <t>x</t>
        </is>
      </c>
      <c r="K10" s="180" t="n">
        <v>10</v>
      </c>
      <c r="L10" s="157" t="n"/>
      <c r="M10" s="157" t="n"/>
      <c r="N10" s="159" t="inlineStr">
        <is>
          <t>x</t>
        </is>
      </c>
      <c r="O10" s="180" t="n">
        <v>8</v>
      </c>
      <c r="P10" s="128" t="n"/>
      <c r="Q10" s="128" t="n"/>
      <c r="R10" s="128" t="n"/>
      <c r="S10" s="128" t="n"/>
    </row>
    <row r="11" ht="123.75" customFormat="1" customHeight="1" s="128">
      <c r="A11" s="151" t="n">
        <v>2.2</v>
      </c>
      <c r="B11" s="81" t="inlineStr">
        <is>
          <t>Tuân thủ quy trình vận hành</t>
        </is>
      </c>
      <c r="C11" s="178" t="n"/>
      <c r="D11" s="154" t="n"/>
      <c r="E11" s="81" t="inlineStr">
        <is>
          <t>Thực hiện đúng quy trình backup, monitoring, phân quyền.
Đánh giá: Quy trình đã ban hành.
Không đánh giá: Quy trình chưa được chuẩn hóa.</t>
        </is>
      </c>
      <c r="F11" s="81" t="n"/>
      <c r="G11" s="83" t="inlineStr">
        <is>
          <t xml:space="preserve">| Điểm | Mô tả
| 10   | Chủ động giám sát hệ thống, phát hiện và xử lý sự cố kịp thời; không để xảy ra sai sót do chủ quan.
| 9    | Đảm bảo hệ thống vận hành ổn định; xử lý tốt các sự cố thông thường. 
| 8    | Đáp ứng yêu cầu vận hành nhưng còn cần hỗ trợ với các tình huống phức tạp. 
| 6    | Để xảy ra nhiều sai sót hoặc xử lý sự cố chưa kịp thời. 
| &lt;5    | Không đảm bảo được yêu cầu vận hành hệ thống. 
</t>
        </is>
      </c>
      <c r="H11" s="157" t="n"/>
      <c r="I11" s="157" t="n"/>
      <c r="J11" s="157" t="inlineStr">
        <is>
          <t>x</t>
        </is>
      </c>
      <c r="K11" s="180" t="n">
        <v>10</v>
      </c>
      <c r="L11" s="157" t="n"/>
      <c r="M11" s="157" t="n"/>
      <c r="N11" s="159" t="inlineStr">
        <is>
          <t>x</t>
        </is>
      </c>
      <c r="O11" s="180" t="n">
        <v>8</v>
      </c>
    </row>
    <row r="12" ht="123.75" customFormat="1" customHeight="1" s="128">
      <c r="A12" s="151" t="n">
        <v>2.3</v>
      </c>
      <c r="B12" s="81" t="inlineStr">
        <is>
          <t>Giám sát và theo dõi hệ thống</t>
        </is>
      </c>
      <c r="C12" s="178" t="n"/>
      <c r="D12" s="154" t="n"/>
      <c r="E12" s="81" t="inlineStr">
        <is>
          <t>Chủ động phát hiện bất thường trong quá trình vận hành.
Theo Monitoring Log</t>
        </is>
      </c>
      <c r="F12" s="81" t="n"/>
      <c r="G12" s="83" t="inlineStr">
        <is>
          <t xml:space="preserve">| Điểm | Mô tả
| 10   | Chủ động giám sát hệ thống, phát hiện và xử lý sự cố kịp thời; không để xảy ra sai sót do chủ quan.
| 9    | Đảm bảo hệ thống vận hành ổn định; xử lý tốt các sự cố thông thường. 
| 8    | Đáp ứng yêu cầu vận hành nhưng còn cần hỗ trợ với các tình huống phức tạp. 
| 6    | Để xảy ra nhiều sai sót hoặc xử lý sự cố chưa kịp thời. 
| &lt;5    | Không đảm bảo được yêu cầu vận hành hệ thống. 
</t>
        </is>
      </c>
      <c r="H12" s="162" t="n"/>
      <c r="I12" s="162" t="n"/>
      <c r="J12" s="162" t="inlineStr">
        <is>
          <t>x</t>
        </is>
      </c>
      <c r="K12" s="184" t="n">
        <v>10</v>
      </c>
      <c r="L12" s="162" t="n"/>
      <c r="M12" s="162" t="n"/>
      <c r="N12" s="163" t="inlineStr">
        <is>
          <t>x</t>
        </is>
      </c>
      <c r="O12" s="184" t="n">
        <v>8</v>
      </c>
    </row>
    <row r="13" ht="123.75" customFormat="1" customHeight="1" s="128">
      <c r="A13" s="151" t="n">
        <v>2.4</v>
      </c>
      <c r="B13" s="81" t="inlineStr">
        <is>
          <t xml:space="preserve"> Xử lý sự cố (Incident)</t>
        </is>
      </c>
      <c r="C13" s="178" t="n"/>
      <c r="D13" s="154" t="n"/>
      <c r="E13" s="81" t="inlineStr">
        <is>
          <t xml:space="preserve"> Phản ứng và xử lý sự cố thuộc phạm vi Operator
Theo xác nhận của quản lý</t>
        </is>
      </c>
      <c r="F13" s="81" t="n"/>
      <c r="G13" s="83" t="inlineStr">
        <is>
          <t xml:space="preserve">| Điểm | Mô tả
| 10   | Chủ động giám sát hệ thống, phát hiện và xử lý sự cố kịp thời; không để xảy ra sai sót do chủ quan.
| 9    | Đảm bảo hệ thống vận hành ổn định; xử lý tốt các sự cố thông thường. 
| 8    | Đáp ứng yêu cầu vận hành nhưng còn cần hỗ trợ với các tình huống phức tạp. 
| 6    | Để xảy ra nhiều sai sót hoặc xử lý sự cố chưa kịp thời. 
| &lt;5    | Không đảm bảo được yêu cầu vận hành hệ thống. 
</t>
        </is>
      </c>
      <c r="H13" s="259" t="n"/>
      <c r="I13" s="259" t="n"/>
      <c r="J13" s="259" t="inlineStr">
        <is>
          <t>x</t>
        </is>
      </c>
      <c r="K13" s="167" t="n">
        <v>10</v>
      </c>
      <c r="L13" s="259" t="n"/>
      <c r="M13" s="259" t="n"/>
      <c r="N13" s="168" t="inlineStr">
        <is>
          <t>x</t>
        </is>
      </c>
      <c r="O13" s="167" t="n">
        <v>10</v>
      </c>
    </row>
    <row r="14" ht="129" customHeight="1">
      <c r="A14" s="140" t="n">
        <v>3</v>
      </c>
      <c r="B14" s="169" t="inlineStr">
        <is>
          <t>Business Knowledge &amp; Capability (Năng lực nghiệp vụ): 10%</t>
        </is>
      </c>
      <c r="C14" s="185" t="n"/>
      <c r="D14" s="186" t="n"/>
      <c r="E14" s="144" t="inlineStr">
        <is>
          <t>Đánh giá mức độ hiểu biết nghiệp vụ, khả năng vận dụng kiến thức vào công việc thực tế, chuyển giao kiến thức và phân tích giải pháp khi hệ thống thay đổi.</t>
        </is>
      </c>
      <c r="F14" s="284" t="inlineStr">
        <is>
          <t>= 35% x Hiểu nghiệp vụ + 20% x Hướng dẫn người khác + 30% x Vận dụng nghiệp vụ + 15% x Đề xuất cải tiến</t>
        </is>
      </c>
      <c r="G14" s="270" t="n"/>
      <c r="H14" s="271" t="n"/>
      <c r="I14" s="271" t="n"/>
      <c r="J14" s="271" t="n"/>
      <c r="K14" s="297">
        <f>0.35*K15+0.2*K16+0.3*K17+0.15*K18</f>
        <v/>
      </c>
      <c r="L14" s="272" t="n"/>
      <c r="M14" s="271" t="n"/>
      <c r="N14" s="271" t="n"/>
      <c r="O14" s="297">
        <f>0.35*O15+0.2*O16+0.3*O17+0.15*O18</f>
        <v/>
      </c>
      <c r="P14" s="128" t="n"/>
      <c r="Q14" s="128" t="n"/>
      <c r="R14" s="128" t="n"/>
      <c r="S14" s="128" t="n"/>
    </row>
    <row r="15" ht="233.25" customHeight="1">
      <c r="A15" s="151" t="n">
        <v>3.1</v>
      </c>
      <c r="B15" s="81" t="inlineStr">
        <is>
          <t>Hiểu nghiệp vụ</t>
        </is>
      </c>
      <c r="C15" s="178" t="n"/>
      <c r="D15" s="154" t="n"/>
      <c r="E15" s="82" t="inlineStr">
        <is>
          <t>Hiểu đầy đủ chức năng và quy trình nghiệp vụ của hệ thống.
 Đánh giá qua hỏi đáp, Case Study</t>
        </is>
      </c>
      <c r="F15" s="81" t="n"/>
      <c r="G15" s="83" t="inlineStr">
        <is>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is>
      </c>
      <c r="H15" s="157" t="n"/>
      <c r="I15" s="157" t="n"/>
      <c r="J15" s="157" t="inlineStr">
        <is>
          <t>x</t>
        </is>
      </c>
      <c r="K15" s="180" t="n">
        <v>10</v>
      </c>
      <c r="L15" s="157" t="n"/>
      <c r="M15" s="157" t="n"/>
      <c r="N15" s="159" t="inlineStr">
        <is>
          <t>x</t>
        </is>
      </c>
      <c r="O15" s="180" t="n">
        <v>8</v>
      </c>
      <c r="P15" s="128" t="n"/>
      <c r="Q15" s="128" t="n"/>
      <c r="R15" s="128" t="n"/>
      <c r="S15" s="128" t="n"/>
    </row>
    <row r="16" ht="129" customHeight="1">
      <c r="A16" s="151" t="n">
        <v>3.2</v>
      </c>
      <c r="B16" s="81" t="inlineStr">
        <is>
          <t>Hướng dẫn người khác</t>
        </is>
      </c>
      <c r="C16" s="178" t="n"/>
      <c r="D16" s="154" t="n"/>
      <c r="E16" s="82" t="inlineStr">
        <is>
          <t>Có khả năng chuyển giao nghiệp vụ cho CS, Học liệu hoặc nhân sự mới.
 Đánh giá qua hoạt động đào tạo</t>
        </is>
      </c>
      <c r="F16" s="81" t="n"/>
      <c r="G16" s="83" t="inlineStr">
        <is>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is>
      </c>
      <c r="H16" s="162" t="n"/>
      <c r="I16" s="162" t="n"/>
      <c r="J16" s="162" t="n">
        <v>1</v>
      </c>
      <c r="K16" s="184" t="n">
        <v>10</v>
      </c>
      <c r="L16" s="162" t="n"/>
      <c r="M16" s="162" t="n"/>
      <c r="N16" s="162" t="n">
        <v>0.95</v>
      </c>
      <c r="O16" s="184" t="n">
        <v>6</v>
      </c>
      <c r="P16" s="128" t="n"/>
      <c r="Q16" s="128" t="n"/>
      <c r="R16" s="128" t="n"/>
      <c r="S16" s="128" t="n"/>
    </row>
    <row r="17" ht="241.5" customHeight="1">
      <c r="A17" s="151" t="n">
        <v>3.3</v>
      </c>
      <c r="B17" s="81" t="inlineStr">
        <is>
          <t>Vận dụng nghiệp vụ</t>
        </is>
      </c>
      <c r="C17" s="178" t="n"/>
      <c r="D17" s="154" t="n"/>
      <c r="E17" s="82" t="inlineStr">
        <is>
          <t>Áp dụng nghiệp vụ để xử lý các tình huống thực tế.
 Đánh giá qua Case thực tế</t>
        </is>
      </c>
      <c r="F17" s="81" t="n"/>
      <c r="G17" s="83" t="inlineStr">
        <is>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is>
      </c>
      <c r="H17" s="259" t="n"/>
      <c r="I17" s="259" t="n"/>
      <c r="J17" s="259" t="inlineStr">
        <is>
          <t>x</t>
        </is>
      </c>
      <c r="K17" s="167" t="n">
        <v>10</v>
      </c>
      <c r="L17" s="259" t="n"/>
      <c r="M17" s="259" t="n"/>
      <c r="N17" s="259" t="inlineStr">
        <is>
          <t>x</t>
        </is>
      </c>
      <c r="O17" s="167" t="n">
        <v>10</v>
      </c>
      <c r="P17" s="128" t="n"/>
      <c r="Q17" s="128" t="n"/>
      <c r="R17" s="128" t="n"/>
      <c r="S17" s="128" t="n"/>
    </row>
    <row r="18" ht="201.75" customHeight="1">
      <c r="A18" s="151" t="inlineStr">
        <is>
          <t>ê</t>
        </is>
      </c>
      <c r="B18" s="81" t="inlineStr">
        <is>
          <t>Đề xuất cải tiến nghiệp vụ</t>
        </is>
      </c>
      <c r="C18" s="178" t="n"/>
      <c r="D18" s="154" t="n"/>
      <c r="E18" s="82" t="inlineStr">
        <is>
          <t>Đề xuất các giải pháp tối ưu về nghiệp vụ hoặc tính năng.
Đánh giá các đề xuất có giá trị</t>
        </is>
      </c>
      <c r="F18" s="81" t="n"/>
      <c r="G18" s="83" t="inlineStr">
        <is>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is>
      </c>
      <c r="H18" s="259" t="n"/>
      <c r="I18" s="259" t="n"/>
      <c r="J18" s="259" t="inlineStr">
        <is>
          <t>x</t>
        </is>
      </c>
      <c r="K18" s="167" t="n">
        <v>10</v>
      </c>
      <c r="L18" s="259" t="n"/>
      <c r="M18" s="259" t="n"/>
      <c r="N18" s="259" t="inlineStr">
        <is>
          <t>x</t>
        </is>
      </c>
      <c r="O18" s="167" t="n">
        <v>10</v>
      </c>
      <c r="P18" s="128" t="n"/>
      <c r="Q18" s="128" t="n"/>
      <c r="R18" s="128" t="n"/>
      <c r="S18" s="128" t="n"/>
    </row>
    <row r="19" ht="133.5" customHeight="1">
      <c r="A19" s="140" t="n">
        <v>4</v>
      </c>
      <c r="B19" s="169" t="inlineStr">
        <is>
          <t>Service &amp; Collaboration (Hỗ trợ và phối hợp): 15%</t>
        </is>
      </c>
      <c r="C19" s="185" t="n"/>
      <c r="D19" s="186" t="n"/>
      <c r="E19" s="144" t="inlineStr">
        <is>
          <t>Đánh giá tinh thần phục vụ, khả năng phối hợp và hiệu quả hỗ trợ các phòng ban trong quá trình vận hành hệ thống và triển khai công việc.</t>
        </is>
      </c>
      <c r="F19" s="284" t="inlineStr">
        <is>
          <t>= 35% x Hỗ trợ CSKH + 25% x Hỗ trợ phòng ban + 20% x Phản hồi đúng cam kết + 20% x Phối hợp triển khai dự án</t>
        </is>
      </c>
      <c r="G19" s="270" t="n"/>
      <c r="H19" s="271" t="n"/>
      <c r="I19" s="271" t="n"/>
      <c r="J19" s="271" t="n"/>
      <c r="K19" s="297">
        <f>0.35*K20+0.25*K21+0.2*K22+0.2*K23</f>
        <v/>
      </c>
      <c r="L19" s="272" t="n"/>
      <c r="M19" s="271" t="n"/>
      <c r="N19" s="271" t="n"/>
      <c r="O19" s="297">
        <f>0.35*O20+0.25*O21+0.2*O22+0.2*O23</f>
        <v/>
      </c>
      <c r="P19" s="128" t="n"/>
      <c r="Q19" s="128" t="n"/>
      <c r="R19" s="128" t="n"/>
      <c r="S19" s="128" t="n"/>
    </row>
    <row r="20" ht="133.5" customHeight="1">
      <c r="A20" s="151" t="n">
        <v>4.1</v>
      </c>
      <c r="B20" s="81" t="inlineStr">
        <is>
          <t>Hỗ trợ CSKH</t>
        </is>
      </c>
      <c r="C20" s="178" t="n"/>
      <c r="D20" s="154" t="n"/>
      <c r="E20" s="82" t="inlineStr">
        <is>
          <t>Hỗ trợ xử lý các case nghiệp vụ vượt FAQ.
Theo xác nhận của quản lý</t>
        </is>
      </c>
      <c r="F20" s="81" t="n"/>
      <c r="G20" s="83" t="inlineStr">
        <is>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is>
      </c>
      <c r="H20" s="157" t="n"/>
      <c r="I20" s="157" t="n"/>
      <c r="J20" s="157" t="inlineStr">
        <is>
          <t>x</t>
        </is>
      </c>
      <c r="K20" s="180" t="n">
        <v>10</v>
      </c>
      <c r="L20" s="157" t="n"/>
      <c r="M20" s="157" t="n"/>
      <c r="N20" s="159" t="inlineStr">
        <is>
          <t>x</t>
        </is>
      </c>
      <c r="O20" s="180" t="n">
        <v>10</v>
      </c>
      <c r="P20" s="128" t="n"/>
      <c r="Q20" s="128" t="n"/>
      <c r="R20" s="128" t="n"/>
      <c r="S20" s="128" t="n"/>
    </row>
    <row r="21" ht="133.5" customHeight="1">
      <c r="A21" s="151" t="n">
        <v>4.2</v>
      </c>
      <c r="B21" s="81" t="inlineStr">
        <is>
          <t>Hỗ trợ phòng ban</t>
        </is>
      </c>
      <c r="C21" s="273" t="n"/>
      <c r="D21" s="154" t="n"/>
      <c r="E21" s="82" t="inlineStr">
        <is>
          <t>Phối hợp hiệu quả với các phòng ban liên quan.
 Theo phản hồi của các bộ phận</t>
        </is>
      </c>
      <c r="F21" s="81" t="n"/>
      <c r="G21" s="83" t="inlineStr">
        <is>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is>
      </c>
      <c r="H21" s="157" t="n"/>
      <c r="I21" s="157" t="n"/>
      <c r="J21" s="157" t="inlineStr">
        <is>
          <t>x</t>
        </is>
      </c>
      <c r="K21" s="184" t="n">
        <v>10</v>
      </c>
      <c r="L21" s="162" t="n"/>
      <c r="M21" s="162" t="n"/>
      <c r="N21" s="163" t="inlineStr">
        <is>
          <t>x</t>
        </is>
      </c>
      <c r="O21" s="184" t="n">
        <v>8</v>
      </c>
      <c r="P21" s="128" t="n"/>
      <c r="Q21" s="128" t="n"/>
      <c r="R21" s="128" t="n"/>
      <c r="S21" s="128" t="n"/>
    </row>
    <row r="22" ht="133.5" customHeight="1">
      <c r="A22" s="151" t="n">
        <v>4.3</v>
      </c>
      <c r="B22" s="112" t="inlineStr">
        <is>
          <t>Hiệu quả phối hợp</t>
        </is>
      </c>
      <c r="C22" s="153" t="n"/>
      <c r="D22" s="274" t="n"/>
      <c r="E22" s="82" t="inlineStr">
        <is>
          <t xml:space="preserve">Chủ động trao đổi, phối hợp và giải quyết công việc xuyên phòng ban.
Theo xác nhận của quản lý </t>
        </is>
      </c>
      <c r="F22" s="81" t="n"/>
      <c r="G22" s="83" t="inlineStr">
        <is>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is>
      </c>
      <c r="H22" s="157" t="n"/>
      <c r="I22" s="157" t="n"/>
      <c r="J22" s="166" t="inlineStr">
        <is>
          <t>x</t>
        </is>
      </c>
      <c r="K22" s="167" t="n">
        <v>10</v>
      </c>
      <c r="L22" s="259" t="n"/>
      <c r="M22" s="259" t="n"/>
      <c r="N22" s="168" t="inlineStr">
        <is>
          <t>x</t>
        </is>
      </c>
      <c r="O22" s="167" t="n">
        <v>10</v>
      </c>
      <c r="P22" s="128" t="n"/>
      <c r="Q22" s="128" t="n"/>
      <c r="R22" s="128" t="n"/>
      <c r="S22" s="128" t="n"/>
    </row>
    <row r="23" ht="133.5" customHeight="1">
      <c r="A23" s="151" t="n">
        <v>4.4</v>
      </c>
      <c r="B23" s="112" t="inlineStr">
        <is>
          <t>Phối hợp triển khai dự án</t>
        </is>
      </c>
      <c r="C23" s="153" t="n"/>
      <c r="D23" s="274" t="n"/>
      <c r="E23" s="82" t="inlineStr">
        <is>
          <t>Tham gia phối hợp với BA, Dev, QA trong triển khai dự án.
 Theo đánh giá của quản lý</t>
        </is>
      </c>
      <c r="F23" s="81" t="n"/>
      <c r="G23" s="83" t="inlineStr">
        <is>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is>
      </c>
      <c r="H23" s="157" t="n"/>
      <c r="I23" s="157" t="n"/>
      <c r="J23" s="166" t="inlineStr">
        <is>
          <t>x</t>
        </is>
      </c>
      <c r="K23" s="167" t="n">
        <v>10</v>
      </c>
      <c r="L23" s="259" t="n"/>
      <c r="M23" s="259" t="n"/>
      <c r="N23" s="168" t="inlineStr">
        <is>
          <t>x</t>
        </is>
      </c>
      <c r="O23" s="167" t="n">
        <v>10</v>
      </c>
      <c r="P23" s="128" t="n"/>
      <c r="Q23" s="128" t="n"/>
      <c r="R23" s="128" t="n"/>
      <c r="S23" s="128" t="n"/>
    </row>
    <row r="24" ht="133.5" customHeight="1">
      <c r="A24" s="140" t="n">
        <v>5</v>
      </c>
      <c r="B24" s="169" t="inlineStr">
        <is>
          <t>Continuous Improvement (Cải tiến và phát triển): 20%</t>
        </is>
      </c>
      <c r="C24" s="275" t="n"/>
      <c r="D24" s="142" t="n"/>
      <c r="E24" s="144" t="inlineStr">
        <is>
          <t>Đánh giá khả năng chuẩn hóa tài liệu, quy trình, chia sẻ tri thức và đề xuất các sáng kiến nhằm nâng cao hiệu quả vận hành, chất lượng sản phẩm và hiệu suất làm việc.</t>
        </is>
      </c>
      <c r="F24" s="284" t="inlineStr">
        <is>
          <t>= 30% x Tài liệu hóa nghiệp vụ + 25% x Chuẩn hóa SOP + 20% x Chia sẻ tri thức + 25% x Đề xuất cải tiến</t>
        </is>
      </c>
      <c r="G24" s="188" t="n"/>
      <c r="H24" s="189" t="n"/>
      <c r="I24" s="189" t="n"/>
      <c r="J24" s="189" t="n"/>
      <c r="K24" s="296">
        <f>0.3*K25+0.25*K26+0.2*K27+0.25*K28</f>
        <v/>
      </c>
      <c r="L24" s="186" t="n"/>
      <c r="M24" s="276" t="n"/>
      <c r="N24" s="276" t="n"/>
      <c r="O24" s="296">
        <f>0.3*O25+0.25*O26+0.2*O27+0.25*O28</f>
        <v/>
      </c>
      <c r="P24" s="128" t="n"/>
      <c r="Q24" s="128" t="n"/>
      <c r="R24" s="128" t="n"/>
      <c r="S24" s="128" t="n"/>
    </row>
    <row r="25" ht="282.75" customHeight="1">
      <c r="A25" s="64" t="n">
        <v>5.1</v>
      </c>
      <c r="B25" s="112" t="inlineStr">
        <is>
          <t>Tài liệu hóa nghiệp vụ</t>
        </is>
      </c>
      <c r="C25" s="153" t="n"/>
      <c r="D25" s="154" t="n"/>
      <c r="E25" s="81" t="inlineStr">
        <is>
          <t>Chuẩn hóa tài liệu nghiệp vụ và hướng dẫn sử dụng
 Tài liệu được ban hành hoặc cập nhật</t>
        </is>
      </c>
      <c r="F25" s="81" t="n"/>
      <c r="G25" s="83" t="inlineStr">
        <is>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is>
      </c>
      <c r="H25" s="157" t="n"/>
      <c r="I25" s="157" t="n"/>
      <c r="J25" s="166" t="n"/>
      <c r="K25" s="167" t="n">
        <v>10</v>
      </c>
      <c r="L25" s="259" t="n"/>
      <c r="M25" s="259" t="n"/>
      <c r="N25" s="168" t="n"/>
      <c r="O25" s="167" t="n">
        <v>10</v>
      </c>
      <c r="P25" s="128" t="n"/>
      <c r="Q25" s="128" t="n"/>
      <c r="R25" s="128" t="n"/>
      <c r="S25" s="128" t="n"/>
    </row>
    <row r="26" ht="201.75" customHeight="1">
      <c r="A26" s="64" t="n">
        <v>5.2</v>
      </c>
      <c r="B26" s="112" t="inlineStr">
        <is>
          <t>Chuẩn hóa SOP</t>
        </is>
      </c>
      <c r="C26" s="153" t="n"/>
      <c r="D26" s="154" t="n"/>
      <c r="E26" s="81" t="inlineStr">
        <is>
          <t>Xây dựng và cải tiến quy trình vận hành
SOP được áp dụng/ hoặc có tiến bộ</t>
        </is>
      </c>
      <c r="F26" s="81" t="n"/>
      <c r="G26" s="83" t="inlineStr">
        <is>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is>
      </c>
      <c r="H26" s="157" t="n"/>
      <c r="I26" s="157" t="n"/>
      <c r="J26" s="166" t="n"/>
      <c r="K26" s="167" t="n">
        <v>10</v>
      </c>
      <c r="L26" s="259" t="n"/>
      <c r="M26" s="259" t="n"/>
      <c r="N26" s="168" t="n"/>
      <c r="O26" s="167" t="n">
        <v>10</v>
      </c>
      <c r="P26" s="128" t="n"/>
      <c r="Q26" s="128" t="n"/>
      <c r="R26" s="128" t="n"/>
      <c r="S26" s="128" t="n"/>
    </row>
    <row r="27" ht="201.75" customHeight="1">
      <c r="A27" s="64" t="n">
        <v>5.3</v>
      </c>
      <c r="B27" s="112" t="inlineStr">
        <is>
          <t>Chia sẻ tri thức</t>
        </is>
      </c>
      <c r="C27" s="153" t="n"/>
      <c r="D27" s="154" t="n"/>
      <c r="E27" s="81" t="inlineStr">
        <is>
          <t>Tham gia đào tạo, chia sẻ kinh nghiệm trong trao đổi công việc hàng ngày</t>
        </is>
      </c>
      <c r="F27" s="81" t="n"/>
      <c r="G27" s="83" t="inlineStr">
        <is>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is>
      </c>
      <c r="H27" s="157" t="n"/>
      <c r="I27" s="157" t="n"/>
      <c r="J27" s="166" t="n"/>
      <c r="K27" s="167" t="n">
        <v>10</v>
      </c>
      <c r="L27" s="259" t="n"/>
      <c r="M27" s="259" t="n"/>
      <c r="N27" s="168" t="n"/>
      <c r="O27" s="167" t="n">
        <v>10</v>
      </c>
      <c r="P27" s="128" t="n"/>
      <c r="Q27" s="128" t="n"/>
      <c r="R27" s="128" t="n"/>
      <c r="S27" s="128" t="n"/>
    </row>
    <row r="28" ht="201.75" customHeight="1">
      <c r="A28" s="64" t="n">
        <v>5.4</v>
      </c>
      <c r="B28" s="112" t="inlineStr">
        <is>
          <t>Sáng kiến cải tiến</t>
        </is>
      </c>
      <c r="C28" s="153" t="n"/>
      <c r="D28" s="154" t="n"/>
      <c r="E28" s="81" t="inlineStr">
        <is>
          <t xml:space="preserve"> Đề xuất cải tiến quy trình, sản phẩm hoặc công cụ
Được ghi nhận và đánh giá</t>
        </is>
      </c>
      <c r="F28" s="81" t="n"/>
      <c r="G28" s="83" t="inlineStr">
        <is>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is>
      </c>
      <c r="H28" s="157" t="n"/>
      <c r="I28" s="157" t="n"/>
      <c r="J28" s="166" t="n"/>
      <c r="K28" s="167" t="n">
        <v>10</v>
      </c>
      <c r="L28" s="259" t="n"/>
      <c r="M28" s="259" t="n"/>
      <c r="N28" s="168" t="n"/>
      <c r="O28" s="167" t="n">
        <v>10</v>
      </c>
      <c r="P28" s="128" t="n"/>
      <c r="Q28" s="128" t="n"/>
      <c r="R28" s="128" t="n"/>
      <c r="S28" s="128" t="n"/>
    </row>
    <row r="29" ht="40.5" customHeight="1">
      <c r="A29" s="196" t="inlineStr">
        <is>
          <t>B.</t>
        </is>
      </c>
      <c r="B29" s="197" t="inlineStr">
        <is>
          <t>TINH THẦN VÀ TRÁCH NHIỆM (TỶ TRỌNG: 20%)</t>
        </is>
      </c>
      <c r="C29" s="277" t="n"/>
      <c r="D29" s="278">
        <f>SUBTOTAL(9,D30:D32)</f>
        <v/>
      </c>
      <c r="E29" s="200" t="n"/>
      <c r="F29" s="285" t="inlineStr">
        <is>
          <t>= Trọng số * Điểm đạt * Tỷ trọng</t>
        </is>
      </c>
      <c r="G29" s="201" t="n"/>
      <c r="H29" s="202" t="n"/>
      <c r="I29" s="202" t="n"/>
      <c r="J29" s="202" t="n"/>
      <c r="K29" s="298">
        <f>SUBTOTAL(9,K30:K32)</f>
        <v/>
      </c>
      <c r="L29" s="299" t="n"/>
      <c r="M29" s="205" t="n"/>
      <c r="N29" s="280" t="n"/>
      <c r="O29" s="299">
        <f>SUBTOTAL(9,O30:O32)</f>
        <v/>
      </c>
      <c r="P29" s="208" t="n"/>
      <c r="Q29" s="209" t="n"/>
      <c r="R29" s="210" t="n"/>
      <c r="S29" s="211" t="n"/>
      <c r="T29" s="211" t="n"/>
    </row>
    <row r="30" ht="45" customHeight="1">
      <c r="A30" s="212" t="n">
        <v>1</v>
      </c>
      <c r="B30" s="213" t="inlineStr">
        <is>
          <t>Chủ động trong công việc</t>
        </is>
      </c>
      <c r="C30" s="167" t="n">
        <v>10</v>
      </c>
      <c r="D30" s="214" t="n">
        <v>0.3</v>
      </c>
      <c r="E30" s="215" t="inlineStr">
        <is>
          <t>Theo bảng tiêu chí B, C</t>
        </is>
      </c>
      <c r="F30" s="216" t="n"/>
      <c r="G30" s="216" t="n"/>
      <c r="H30" s="217" t="n">
        <v>10</v>
      </c>
      <c r="I30" s="300">
        <f>H30/C30</f>
        <v/>
      </c>
      <c r="J30" s="219" t="inlineStr">
        <is>
          <t>x</t>
        </is>
      </c>
      <c r="K30" s="219">
        <f>$D30*$I30*20%</f>
        <v/>
      </c>
      <c r="L30" s="220" t="n">
        <v>9</v>
      </c>
      <c r="M30" s="301">
        <f>L30/C30</f>
        <v/>
      </c>
      <c r="N30" s="167" t="inlineStr">
        <is>
          <t>x</t>
        </is>
      </c>
      <c r="O30" s="302">
        <f>$D30*$M30*20%</f>
        <v/>
      </c>
      <c r="P30" s="208" t="n"/>
      <c r="Q30" s="223" t="n"/>
      <c r="R30" s="224" t="n"/>
      <c r="S30" s="225" t="n"/>
      <c r="T30" s="225" t="n"/>
    </row>
    <row r="31" ht="45" customHeight="1">
      <c r="A31" s="212" t="n">
        <v>2</v>
      </c>
      <c r="B31" s="213" t="inlineStr">
        <is>
          <t>Phối hợp trong công việc</t>
        </is>
      </c>
      <c r="C31" s="167" t="n">
        <v>10</v>
      </c>
      <c r="D31" s="214" t="n">
        <v>0.3</v>
      </c>
      <c r="F31" s="216" t="n"/>
      <c r="G31" s="216" t="n"/>
      <c r="H31" s="217" t="n">
        <v>10</v>
      </c>
      <c r="I31" s="300">
        <f>H31/C31</f>
        <v/>
      </c>
      <c r="J31" s="219" t="inlineStr">
        <is>
          <t>x</t>
        </is>
      </c>
      <c r="K31" s="219">
        <f>$D31*$I31*20%</f>
        <v/>
      </c>
      <c r="L31" s="226" t="n">
        <v>8</v>
      </c>
      <c r="M31" s="301">
        <f>L31/C31</f>
        <v/>
      </c>
      <c r="N31" s="167" t="inlineStr">
        <is>
          <t>x</t>
        </is>
      </c>
      <c r="O31" s="302">
        <f>$D31*$M31*20%</f>
        <v/>
      </c>
      <c r="P31" s="208" t="n"/>
      <c r="Q31" s="223" t="n"/>
      <c r="R31" s="224" t="n"/>
      <c r="S31" s="225" t="n"/>
      <c r="T31" s="225" t="n"/>
    </row>
    <row r="32" ht="45" customHeight="1">
      <c r="A32" s="212" t="n">
        <v>3</v>
      </c>
      <c r="B32" s="213" t="inlineStr">
        <is>
          <t>Tuân thủ kỷ luật trong công việc, chấp hành yêu cầu cấp trên và các quy định nội quy của Công ty</t>
        </is>
      </c>
      <c r="C32" s="167" t="n">
        <v>10</v>
      </c>
      <c r="D32" s="214" t="n">
        <v>0.4</v>
      </c>
      <c r="E32" s="227" t="n"/>
      <c r="F32" s="216" t="n"/>
      <c r="G32" s="216" t="n"/>
      <c r="H32" s="217" t="n">
        <v>10</v>
      </c>
      <c r="I32" s="300">
        <f>H32/C32</f>
        <v/>
      </c>
      <c r="J32" s="219" t="inlineStr">
        <is>
          <t>x</t>
        </is>
      </c>
      <c r="K32" s="219">
        <f>$D32*$I32*20%</f>
        <v/>
      </c>
      <c r="L32" s="226" t="n">
        <v>10</v>
      </c>
      <c r="M32" s="301">
        <f>L32/C32</f>
        <v/>
      </c>
      <c r="N32" s="167" t="inlineStr">
        <is>
          <t>x</t>
        </is>
      </c>
      <c r="O32" s="302">
        <f>$D32*$M32*20%</f>
        <v/>
      </c>
      <c r="P32" s="208" t="n"/>
      <c r="Q32" s="223" t="n"/>
      <c r="R32" s="224" t="n"/>
      <c r="S32" s="225" t="n"/>
      <c r="T32" s="225" t="n"/>
    </row>
    <row r="33" ht="47.25" customHeight="1">
      <c r="A33" s="196" t="inlineStr">
        <is>
          <t>C.</t>
        </is>
      </c>
      <c r="B33" s="135" t="inlineStr">
        <is>
          <t>KỶ LUẬT LAO ĐỘNG (TỶ TRỌNG: 5%)</t>
        </is>
      </c>
      <c r="C33" s="228" t="n"/>
      <c r="D33" s="229">
        <f>SUBTOTAL(9,D34:D37)</f>
        <v/>
      </c>
      <c r="E33" s="230" t="n"/>
      <c r="F33" s="285" t="inlineStr">
        <is>
          <t>= Trọng số * Điểm đạt * Tỷ trọng</t>
        </is>
      </c>
      <c r="G33" s="231" t="n"/>
      <c r="H33" s="232" t="n"/>
      <c r="I33" s="232" t="n"/>
      <c r="J33" s="232" t="n"/>
      <c r="K33" s="303">
        <f>SUBTOTAL(9,K34:K37)</f>
        <v/>
      </c>
      <c r="L33" s="234" t="n"/>
      <c r="M33" s="235" t="n"/>
      <c r="N33" s="234" t="n"/>
      <c r="O33" s="304">
        <f>SUBTOTAL(9,O34:O37)</f>
        <v/>
      </c>
      <c r="P33" s="208" t="n"/>
      <c r="Q33" s="209" t="n"/>
      <c r="R33" s="210" t="n"/>
      <c r="S33" s="210" t="n"/>
      <c r="T33" s="210" t="n"/>
    </row>
    <row r="34" ht="29.25" customHeight="1">
      <c r="A34" s="212" t="n">
        <v>1</v>
      </c>
      <c r="B34" s="213" t="inlineStr">
        <is>
          <t>Đi muộn, về sớm</t>
        </is>
      </c>
      <c r="C34" s="167" t="n">
        <v>10</v>
      </c>
      <c r="D34" s="214" t="n">
        <v>0.3</v>
      </c>
      <c r="E34" s="237" t="inlineStr">
        <is>
          <t>Theo bảng tiêu chí B, C</t>
        </is>
      </c>
      <c r="F34" s="216" t="n"/>
      <c r="G34" s="216" t="n"/>
      <c r="H34" s="217" t="n">
        <v>10</v>
      </c>
      <c r="I34" s="300">
        <f>H34/C34</f>
        <v/>
      </c>
      <c r="J34" s="219" t="inlineStr">
        <is>
          <t>x</t>
        </is>
      </c>
      <c r="K34" s="305">
        <f>$D34*$I34*5%</f>
        <v/>
      </c>
      <c r="L34" s="167" t="n">
        <v>7</v>
      </c>
      <c r="M34" s="306">
        <f>L34/C34</f>
        <v/>
      </c>
      <c r="N34" s="167" t="inlineStr">
        <is>
          <t>x</t>
        </is>
      </c>
      <c r="O34" s="307">
        <f>$D34*$M34*5%</f>
        <v/>
      </c>
      <c r="P34" s="208" t="n"/>
      <c r="Q34" s="223" t="n"/>
      <c r="R34" s="224" t="n"/>
      <c r="S34" s="225" t="n"/>
      <c r="T34" s="225" t="n"/>
    </row>
    <row r="35" ht="29.25" customHeight="1">
      <c r="A35" s="212" t="n">
        <v>2</v>
      </c>
      <c r="B35" s="213" t="inlineStr">
        <is>
          <t>Nghỉ không phép</t>
        </is>
      </c>
      <c r="C35" s="167" t="n">
        <v>10</v>
      </c>
      <c r="D35" s="214" t="n">
        <v>0.3</v>
      </c>
      <c r="F35" s="216" t="n"/>
      <c r="G35" s="216" t="n"/>
      <c r="H35" s="217" t="n">
        <v>10</v>
      </c>
      <c r="I35" s="300">
        <f>H35/C35</f>
        <v/>
      </c>
      <c r="J35" s="219" t="inlineStr">
        <is>
          <t>x</t>
        </is>
      </c>
      <c r="K35" s="305">
        <f>$D35*$I35*5%</f>
        <v/>
      </c>
      <c r="L35" s="167" t="n">
        <v>7</v>
      </c>
      <c r="M35" s="306">
        <f>L35/C35</f>
        <v/>
      </c>
      <c r="N35" s="167" t="inlineStr">
        <is>
          <t>x</t>
        </is>
      </c>
      <c r="O35" s="307">
        <f>$D35*$M35*5%</f>
        <v/>
      </c>
      <c r="P35" s="208" t="n"/>
      <c r="Q35" s="223" t="n"/>
      <c r="R35" s="224" t="n"/>
      <c r="S35" s="225" t="n"/>
      <c r="T35" s="225" t="n"/>
    </row>
    <row r="36" ht="29.25" customHeight="1">
      <c r="A36" s="212" t="n">
        <v>3</v>
      </c>
      <c r="B36" s="213" t="inlineStr">
        <is>
          <t>Quên không chấm công (check in và check out)</t>
        </is>
      </c>
      <c r="C36" s="167" t="n">
        <v>10</v>
      </c>
      <c r="D36" s="214" t="n">
        <v>0.3</v>
      </c>
      <c r="F36" s="216" t="n"/>
      <c r="G36" s="216" t="n"/>
      <c r="H36" s="217" t="n">
        <v>10</v>
      </c>
      <c r="I36" s="300">
        <f>H36/C36</f>
        <v/>
      </c>
      <c r="J36" s="219" t="inlineStr">
        <is>
          <t>x</t>
        </is>
      </c>
      <c r="K36" s="305">
        <f>$D36*$I36*5%</f>
        <v/>
      </c>
      <c r="L36" s="167" t="n">
        <v>6</v>
      </c>
      <c r="M36" s="306">
        <f>L36/C36</f>
        <v/>
      </c>
      <c r="N36" s="167" t="inlineStr">
        <is>
          <t>x</t>
        </is>
      </c>
      <c r="O36" s="307">
        <f>$D36*$M36*5%</f>
        <v/>
      </c>
      <c r="P36" s="208" t="n"/>
      <c r="Q36" s="223" t="n"/>
      <c r="R36" s="224" t="n"/>
      <c r="S36" s="225" t="n"/>
      <c r="T36" s="225" t="n"/>
    </row>
    <row r="37" ht="29.25" customHeight="1">
      <c r="A37" s="241" t="n">
        <v>4</v>
      </c>
      <c r="B37" s="242" t="inlineStr">
        <is>
          <t>Xanh-Sạch-Đẹp</t>
        </is>
      </c>
      <c r="C37" s="167" t="n">
        <v>10</v>
      </c>
      <c r="D37" s="214" t="n">
        <v>0.1</v>
      </c>
      <c r="E37" s="62" t="n"/>
      <c r="F37" s="216" t="n"/>
      <c r="G37" s="216" t="n"/>
      <c r="H37" s="217" t="n">
        <v>10</v>
      </c>
      <c r="I37" s="300">
        <f>H37/C37</f>
        <v/>
      </c>
      <c r="J37" s="219" t="inlineStr">
        <is>
          <t>x</t>
        </is>
      </c>
      <c r="K37" s="305">
        <f>$D37*$I37*5%</f>
        <v/>
      </c>
      <c r="L37" s="167" t="n">
        <v>6</v>
      </c>
      <c r="M37" s="306">
        <f>L37/C37</f>
        <v/>
      </c>
      <c r="N37" s="167" t="inlineStr">
        <is>
          <t>x</t>
        </is>
      </c>
      <c r="O37" s="307">
        <f>$D37*$M37*5%</f>
        <v/>
      </c>
      <c r="P37" s="208" t="n"/>
      <c r="Q37" s="223" t="n"/>
      <c r="R37" s="224" t="n"/>
      <c r="S37" s="225" t="n"/>
      <c r="T37" s="225" t="n"/>
    </row>
    <row r="38" ht="35.25" customHeight="1">
      <c r="A38" s="243" t="inlineStr">
        <is>
          <t>TỔNG</t>
        </is>
      </c>
      <c r="B38" s="127" t="n"/>
      <c r="C38" s="27" t="n"/>
      <c r="D38" s="244" t="n"/>
      <c r="E38" s="245" t="n"/>
      <c r="F38" s="244" t="n"/>
      <c r="G38" s="244" t="n"/>
      <c r="H38" s="244" t="n"/>
      <c r="I38" s="244" t="n"/>
      <c r="J38" s="244" t="n"/>
      <c r="K38" s="308">
        <f>SUM(K33,K29,K3)</f>
        <v/>
      </c>
      <c r="L38" s="309" t="n"/>
      <c r="M38" s="247" t="n"/>
      <c r="N38" s="247" t="n"/>
      <c r="O38" s="308">
        <f>SUM(O33,O29,O3)</f>
        <v/>
      </c>
      <c r="P38" s="208" t="n"/>
      <c r="Q38" s="248" t="n"/>
      <c r="R38" s="249" t="n"/>
      <c r="S38" s="249" t="n"/>
      <c r="T38" s="250" t="n"/>
    </row>
    <row r="39" ht="35.25" customHeight="1">
      <c r="A39" s="251" t="inlineStr">
        <is>
          <t>TỔNG CỘNG= ((Nhân viên đánh giá *1)+(CBQL đánh giá *2))/3</t>
        </is>
      </c>
      <c r="B39" s="252" t="n"/>
      <c r="C39" s="253" t="n"/>
      <c r="D39" s="253" t="n"/>
      <c r="E39" s="253" t="n"/>
      <c r="F39" s="253" t="n"/>
      <c r="G39" s="253" t="n"/>
      <c r="H39" s="310">
        <f>(K38+O38*2)/3</f>
        <v/>
      </c>
      <c r="I39" s="127" t="n"/>
      <c r="J39" s="127" t="n"/>
      <c r="K39" s="127" t="n"/>
      <c r="L39" s="127" t="n"/>
      <c r="M39" s="127" t="n"/>
      <c r="N39" s="127" t="n"/>
      <c r="O39" s="27" t="n"/>
      <c r="P39" s="255" t="n"/>
      <c r="Q39" s="255" t="n"/>
      <c r="R39" s="255" t="n"/>
      <c r="S39" s="255" t="n"/>
      <c r="T39" s="256" t="n"/>
    </row>
  </sheetData>
  <mergeCells count="11">
    <mergeCell ref="E30:E32"/>
    <mergeCell ref="H39:O39"/>
    <mergeCell ref="E34:E37"/>
    <mergeCell ref="C1:C2"/>
    <mergeCell ref="D1:D2"/>
    <mergeCell ref="G1:G2"/>
    <mergeCell ref="F1:F2"/>
    <mergeCell ref="H1:K1"/>
    <mergeCell ref="L1:O1"/>
    <mergeCell ref="A38:C38"/>
    <mergeCell ref="A1:A2"/>
  </mergeCells>
  <pageMargins left="0.7" right="0.7" top="0.75" bottom="0.75" header="0.3" footer="0.3"/>
  <pageSetup orientation="portrait" paperSize="1"/>
</worksheet>
</file>

<file path=xl/worksheets/sheet2.xml><?xml version="1.0" encoding="utf-8"?>
<worksheet xmlns="http://schemas.openxmlformats.org/spreadsheetml/2006/main">
  <sheetPr>
    <tabColor rgb="FFFF0000"/>
    <outlinePr summaryBelow="1" summaryRight="1"/>
    <pageSetUpPr/>
  </sheetPr>
  <dimension ref="A1:T28"/>
  <sheetViews>
    <sheetView zoomScale="70" zoomScaleNormal="70" workbookViewId="0">
      <pane xSplit="4" ySplit="2" topLeftCell="E11" activePane="bottomRight" state="frozen"/>
      <selection activeCell="A1" sqref="A1"/>
      <selection pane="topRight" activeCell="A1" sqref="A1"/>
      <selection pane="bottomLeft" activeCell="A1" sqref="A1"/>
      <selection pane="bottomRight" activeCell="E7" sqref="E7"/>
    </sheetView>
  </sheetViews>
  <sheetFormatPr baseColWidth="8" defaultColWidth="9.142857142857141" defaultRowHeight="15"/>
  <cols>
    <col width="9.142857142857141" customWidth="1" style="122" min="1" max="1"/>
    <col width="37.2857142857143" customWidth="1" min="2" max="2"/>
    <col width="19.1428571428571" customWidth="1" min="3" max="3"/>
    <col width="17.7142857142857" customWidth="1" min="4" max="4"/>
    <col width="67.71428571428569" customWidth="1" min="5" max="5"/>
    <col width="46.7142857142857" customWidth="1" min="6" max="6"/>
    <col width="50.1428571428571" customWidth="1" min="7" max="7"/>
    <col width="16" customWidth="1" style="122" min="8" max="9"/>
    <col width="18.7142857142857" customWidth="1" style="122" min="10" max="10"/>
    <col width="27.4285714285714" customWidth="1" style="122" min="11" max="11"/>
    <col width="18.2857142857143" customWidth="1" style="122" min="12" max="12"/>
    <col width="18.4285714285714" customWidth="1" style="122" min="13" max="13"/>
    <col width="17.7142857142857" customWidth="1" style="122" min="14" max="14"/>
    <col width="35.4285714285714" customWidth="1" style="122" min="15" max="15"/>
  </cols>
  <sheetData>
    <row r="1" ht="36.75" customHeight="1">
      <c r="A1" s="123" t="inlineStr">
        <is>
          <t>STT</t>
        </is>
      </c>
      <c r="B1" s="123" t="inlineStr">
        <is>
          <t>CHỈ TIÊU</t>
        </is>
      </c>
      <c r="C1" s="123" t="inlineStr">
        <is>
          <t>Kế hoạch (Điểm)</t>
        </is>
      </c>
      <c r="D1" s="123" t="inlineStr">
        <is>
          <t>Trọng số</t>
        </is>
      </c>
      <c r="E1" s="124" t="inlineStr">
        <is>
          <t>MÔ TẢ THƯỚC ĐO CHỈ TIÊU</t>
        </is>
      </c>
      <c r="F1" s="125" t="inlineStr">
        <is>
          <t>Công thức Tính</t>
        </is>
      </c>
      <c r="G1" s="125" t="inlineStr">
        <is>
          <t>Công thức Tính (Thang điểm 10)</t>
        </is>
      </c>
      <c r="H1" s="126" t="inlineStr">
        <is>
          <t>NHÂN VIÊN ĐÁNH GIÁ</t>
        </is>
      </c>
      <c r="I1" s="127" t="n"/>
      <c r="J1" s="127" t="n"/>
      <c r="K1" s="27" t="n"/>
      <c r="L1" s="126" t="inlineStr">
        <is>
          <t>CBQL ĐÁNH GIÁ</t>
        </is>
      </c>
      <c r="M1" s="127" t="n"/>
      <c r="N1" s="127" t="n"/>
      <c r="O1" s="27" t="n"/>
      <c r="P1" s="128" t="n"/>
      <c r="Q1" s="128" t="n"/>
      <c r="R1" s="128" t="n"/>
      <c r="S1" s="128" t="n"/>
    </row>
    <row r="2" ht="72" customHeight="1">
      <c r="A2" s="17" t="n"/>
      <c r="B2" s="123" t="inlineStr">
        <is>
          <t>Hạng mục</t>
        </is>
      </c>
      <c r="C2" s="17" t="n"/>
      <c r="D2" s="17" t="n"/>
      <c r="E2" s="129" t="n"/>
      <c r="F2" s="130" t="n"/>
      <c r="G2" s="130" t="n"/>
      <c r="H2" s="131" t="inlineStr">
        <is>
          <t>Thực đạt (Tiêu chí B,C)</t>
        </is>
      </c>
      <c r="I2" s="131" t="inlineStr">
        <is>
          <t>Điểm đạt = Thực đạt/Kế hoạch (Tiêu chí B,C)</t>
        </is>
      </c>
      <c r="J2" s="131" t="inlineStr">
        <is>
          <t>Tỷ lệ hoàn thành (Tiêu chí A)</t>
        </is>
      </c>
      <c r="K2" s="132" t="inlineStr">
        <is>
          <t>Điểm KPIs (Tính theo công thức của tùng loại tiêu chí)</t>
        </is>
      </c>
      <c r="L2" s="133" t="inlineStr">
        <is>
          <t>Thực đạt (Tiêu chí B,C)</t>
        </is>
      </c>
      <c r="M2" s="133" t="inlineStr">
        <is>
          <t>Điểm đạt = Thực đạt/Kế hoạch (Tiêu chí B,C)</t>
        </is>
      </c>
      <c r="N2" s="133" t="inlineStr">
        <is>
          <t>Tỷ lệ hoàn thành (Tiêu chí A)</t>
        </is>
      </c>
      <c r="O2" s="126" t="inlineStr">
        <is>
          <t>Điểm KPIs (Tính theo công thức của tùng loại tiêu chí)</t>
        </is>
      </c>
      <c r="P2" s="128" t="n"/>
      <c r="Q2" s="128" t="n"/>
      <c r="R2" s="128" t="n"/>
      <c r="S2" s="128" t="n"/>
    </row>
    <row r="3" ht="101.25" customHeight="1">
      <c r="A3" s="134" t="inlineStr">
        <is>
          <t xml:space="preserve">A. </t>
        </is>
      </c>
      <c r="B3" s="135" t="inlineStr">
        <is>
          <t>HIỆU QUẢ CÔNG VIỆC (TỶ TRỌNG: Max = 75%)</t>
        </is>
      </c>
      <c r="C3" s="136" t="n"/>
      <c r="D3" s="136" t="n"/>
      <c r="E3" s="136" t="n"/>
      <c r="F3" s="281" t="inlineStr">
        <is>
          <t>= 30% x Hiệu quả thực hiện công việc + 25% x Chất lượng chuyên môn + 10% x Cải tiến &amp; Phát triển + 10% x Tuân thủ quy trình &amp; Phối hợp</t>
        </is>
      </c>
      <c r="G3" s="136" t="n"/>
      <c r="H3" s="138" t="n"/>
      <c r="I3" s="138" t="n"/>
      <c r="J3" s="138" t="n"/>
      <c r="K3" s="139">
        <f>(0.3*K4+0.25*K8+0.1*K12+0.1*K15)/10</f>
        <v/>
      </c>
      <c r="L3" s="139" t="n"/>
      <c r="M3" s="138" t="n"/>
      <c r="N3" s="138" t="n"/>
      <c r="O3" s="139">
        <f>(0.3*O4+0.25*O8+0.1*O12+0.1*O15)/10</f>
        <v/>
      </c>
      <c r="P3" s="128" t="n"/>
      <c r="Q3" s="128" t="n"/>
      <c r="R3" s="128" t="n"/>
      <c r="S3" s="128" t="n"/>
    </row>
    <row r="4" ht="122.25" customHeight="1">
      <c r="A4" s="140" t="n">
        <v>1</v>
      </c>
      <c r="B4" s="105" t="inlineStr">
        <is>
          <t>Hiệu quả thực hiện công việc : 30%</t>
        </is>
      </c>
      <c r="C4" s="142" t="n"/>
      <c r="D4" s="143" t="n"/>
      <c r="E4" s="144" t="n"/>
      <c r="F4" s="286" t="inlineStr">
        <is>
          <t>= 40% x Hoàn thành kế hoạch kiểm thử + 35% x Tiến độ xử lý công việc + 25% x Hỗ trợ vận hành</t>
        </is>
      </c>
      <c r="G4" s="146" t="n"/>
      <c r="H4" s="147" t="n"/>
      <c r="I4" s="147" t="n"/>
      <c r="J4" s="147" t="n"/>
      <c r="K4" s="296">
        <f>0.4*K5+0.35*K6+0.25*K7</f>
        <v/>
      </c>
      <c r="L4" s="149" t="n"/>
      <c r="M4" s="150" t="n"/>
      <c r="N4" s="150" t="n"/>
      <c r="O4" s="150">
        <f>0.4*O5+0.35*O6+0.25*O7</f>
        <v/>
      </c>
      <c r="P4" s="128" t="n"/>
      <c r="Q4" s="128" t="n"/>
      <c r="R4" s="128" t="n"/>
      <c r="S4" s="128" t="n"/>
    </row>
    <row r="5" ht="152.45" customHeight="1">
      <c r="A5" s="151" t="n">
        <v>1.1</v>
      </c>
      <c r="B5" s="70" t="inlineStr">
        <is>
          <t>Hoàn thành kế hoạch kiểm thử</t>
        </is>
      </c>
      <c r="C5" s="153" t="n"/>
      <c r="D5" s="154" t="n"/>
      <c r="E5" s="111" t="inlineStr">
        <is>
          <t>Đánh giá khả năng hoàn thành khối lượng công việc kiểm thử theo kế hoạch đã thống nhất trong tháng.
'- Đánh giá: Test Case, Test Task, Regression Test, Smoke Test, UAT hỗ trợ (nếu được giao).
- Không đánh giá: Công việc chưa được giao chính thức; công việc bị hủy; thay đổi phạm vi sau khi Leader phê duyệt; chờ BA/Dev hoặc môi trường kiểm thử chưa sẵn sàng.</t>
        </is>
      </c>
      <c r="F5" s="156" t="n"/>
      <c r="G5" s="113" t="inlineStr">
        <is>
          <t>10: ≥100%
9: 95%–&lt;100%
8: 90%–&lt;95%
7: 80%–&lt;90%
5: &lt;80%</t>
        </is>
      </c>
      <c r="H5" s="157" t="n"/>
      <c r="I5" s="158" t="n"/>
      <c r="J5" s="157" t="n">
        <v>1</v>
      </c>
      <c r="K5" s="159" t="n">
        <v>10</v>
      </c>
      <c r="L5" s="157" t="n"/>
      <c r="M5" s="157" t="n"/>
      <c r="N5" s="157" t="n">
        <v>0.95</v>
      </c>
      <c r="O5" s="159" t="n">
        <v>8</v>
      </c>
      <c r="P5" s="128" t="n"/>
      <c r="Q5" s="128" t="n"/>
      <c r="R5" s="128" t="n"/>
      <c r="S5" s="128" t="n"/>
    </row>
    <row r="6" ht="130.5" customHeight="1">
      <c r="A6" s="151" t="n">
        <v>1.2</v>
      </c>
      <c r="B6" s="70" t="inlineStr">
        <is>
          <t>Tiến độ xử lý công việc</t>
        </is>
      </c>
      <c r="C6" s="153" t="n"/>
      <c r="D6" s="154" t="n"/>
      <c r="E6" s="82" t="inlineStr">
        <is>
          <t>Đánh giá khả năng hoàn thành công việc đúng thời hạn cam kết.
'- Đánh giá: Deadline của từng Task/Test Plan theo Jira hoặc kế hoạch được Leader phê duyệt.
- Không đánh giá: Deadline thay đổi do khách quan (đổi yêu cầu, build giao muộn, hệ thống lỗi, chờ xác nhận nghiệp vụ).</t>
        </is>
      </c>
      <c r="F6" s="156" t="n"/>
      <c r="G6" s="113" t="inlineStr">
        <is>
          <t>10: ≥98%
9: 95%–&lt;98%
8: 90%–&lt;95%
7: 85%–&lt;90%
5: &lt;85%</t>
        </is>
      </c>
      <c r="H6" s="157" t="n"/>
      <c r="I6" s="157" t="n"/>
      <c r="J6" s="162" t="n">
        <v>0.99</v>
      </c>
      <c r="K6" s="163" t="n">
        <v>10</v>
      </c>
      <c r="L6" s="157" t="n"/>
      <c r="M6" s="157" t="n"/>
      <c r="N6" s="157" t="n">
        <v>0.95</v>
      </c>
      <c r="O6" s="159" t="n">
        <v>8</v>
      </c>
      <c r="P6" s="128" t="n"/>
      <c r="Q6" s="128" t="n"/>
      <c r="R6" s="128" t="n"/>
      <c r="S6" s="128" t="n"/>
    </row>
    <row r="7" ht="170.25" customHeight="1">
      <c r="A7" s="151" t="n">
        <v>1.3</v>
      </c>
      <c r="B7" s="258" t="inlineStr">
        <is>
          <t>Hỗ trợ vận hành</t>
        </is>
      </c>
      <c r="C7" s="153" t="n"/>
      <c r="D7" s="154" t="n"/>
      <c r="E7" s="117" t="inlineStr">
        <is>
          <t>Đánh giá mức độ hoàn thành các nhiệm vụ hỗ trợ vận hành, xử lý sự cố và hỗ trợ Operator theo phân công.
'- Đánh giá: Ticket hỗ trợ, xử lý lỗi, hỗ trợ game/event, hỗ trợ Operation theo yêu cầu.
- Không đánh giá: Công việc ngoài phạm vi Tester; sự cố do hạ tầng hoặc đơn vị khác xử lý; yêu cầu chưa được phân công chính thức.</t>
        </is>
      </c>
      <c r="F7" s="161" t="n"/>
      <c r="G7" s="81" t="inlineStr">
        <is>
          <t xml:space="preserve">| Kết quả   |   Điểm |
| ≥98% SLA | 10 |
| 95–99%    |  9 |
| 90–94%    |  8 |
| 80–89%    |  7 |
| &lt;80%      |  5 |
</t>
        </is>
      </c>
      <c r="H7" s="157" t="n"/>
      <c r="I7" s="166" t="n"/>
      <c r="J7" s="259" t="inlineStr">
        <is>
          <t>x</t>
        </is>
      </c>
      <c r="K7" s="168" t="n">
        <v>10</v>
      </c>
      <c r="L7" s="157" t="n"/>
      <c r="M7" s="157" t="n"/>
      <c r="N7" s="157" t="inlineStr">
        <is>
          <t>x</t>
        </is>
      </c>
      <c r="O7" s="159" t="n">
        <v>8</v>
      </c>
      <c r="P7" s="128" t="n"/>
      <c r="Q7" s="128" t="n"/>
      <c r="R7" s="128" t="n"/>
      <c r="S7" s="128" t="n"/>
    </row>
    <row r="8" ht="132.75" customHeight="1">
      <c r="A8" s="140" t="n">
        <v>2</v>
      </c>
      <c r="B8" s="141" t="inlineStr">
        <is>
          <t>Chất lượng chuyên môn: 25%</t>
        </is>
      </c>
      <c r="C8" s="186" t="n"/>
      <c r="D8" s="260" t="n"/>
      <c r="E8" s="171" t="n"/>
      <c r="F8" s="286" t="inlineStr">
        <is>
          <t>= 45% x Chất lượng kiểm thử + 30% x Chất lượng Test Case &amp; Bug Report + 25% x Chất lượng tài liệu &amp; Chuyển giao</t>
        </is>
      </c>
      <c r="G8" s="173" t="n"/>
      <c r="H8" s="147" t="n"/>
      <c r="I8" s="147" t="n"/>
      <c r="J8" s="174" t="n"/>
      <c r="K8" s="297">
        <f>0.45*K9+0.3*K10+0.25*K11</f>
        <v/>
      </c>
      <c r="L8" s="176" t="n"/>
      <c r="M8" s="150" t="n"/>
      <c r="N8" s="150" t="n"/>
      <c r="O8" s="150">
        <f>0.45*O9+0.3*O10+0.25*O11</f>
        <v/>
      </c>
      <c r="P8" s="128" t="n"/>
      <c r="Q8" s="128" t="n"/>
      <c r="R8" s="128" t="n"/>
      <c r="S8" s="128" t="n"/>
    </row>
    <row r="9" ht="132" customHeight="1">
      <c r="A9" s="151" t="n">
        <v>2.1</v>
      </c>
      <c r="B9" s="81" t="inlineStr">
        <is>
          <t>Chất lượng kiểm thử</t>
        </is>
      </c>
      <c r="C9" s="262" t="n"/>
      <c r="D9" s="154" t="n"/>
      <c r="E9" s="82" t="inlineStr">
        <is>
          <t>Đánh giá hiệu quả hoạt động kiểm thử thông qua khả năng phát hiện lỗi và hạn chế lỗi lọt sang các giai đoạn sau.
'- Đánh giá: Lỗi lọt UAT, Production được xác định thuộc trách nhiệm kiểm thử; mức độ bao phủ kiểm thử.
- Không đánh giá: Lỗi phát sinh do thay đổi yêu cầu sau khi kiểm thử; lỗi chưa có tài liệu nghiệp vụ; lỗi phát sinh do môi trường hoặc dữ liệu không ổn định.</t>
        </is>
      </c>
      <c r="F9" s="161" t="n"/>
      <c r="G9" s="81" t="inlineStr">
        <is>
          <t>10: 0 lỗi
9: 1 lỗi
8: 2 lỗi
7: 3 lỗi
5: ≥4 lỗi</t>
        </is>
      </c>
      <c r="H9" s="157" t="n"/>
      <c r="I9" s="157" t="n"/>
      <c r="J9" s="157" t="inlineStr">
        <is>
          <t>x</t>
        </is>
      </c>
      <c r="K9" s="180" t="n">
        <v>10</v>
      </c>
      <c r="L9" s="157" t="n"/>
      <c r="M9" s="157" t="n"/>
      <c r="N9" s="159" t="inlineStr">
        <is>
          <t>x</t>
        </is>
      </c>
      <c r="O9" s="180" t="n">
        <v>8</v>
      </c>
      <c r="P9" s="128" t="n"/>
      <c r="Q9" s="128" t="n"/>
      <c r="R9" s="128" t="n"/>
      <c r="S9" s="128" t="n"/>
    </row>
    <row r="10" ht="265.5" customHeight="1">
      <c r="A10" s="151" t="n">
        <v>2.2</v>
      </c>
      <c r="B10" s="81" t="inlineStr">
        <is>
          <t>Chất lượng Test Case &amp; Bug Report</t>
        </is>
      </c>
      <c r="C10" s="178" t="n"/>
      <c r="D10" s="154" t="n"/>
      <c r="E10" s="81" t="inlineStr">
        <is>
          <t>Đánh giá chất lượng tài liệu kiểm thử và báo cáo lỗi, đảm bảo rõ ràng, đầy đủ và dễ tái sử dụng.
'- Đánh giá: Nội dung Test Case, Bug Report, điều kiện kiểm thử, bước thực hiện, kết quả mong đợi, mức độ đầy đủ thông tin.
- Không đánh giá: Khả năng viết văn; định dạng trình bày không ảnh hưởng đến việc sử dụng; lỗi chính tả nhỏ không làm thay đổi nội dung.</t>
        </is>
      </c>
      <c r="F10" s="182" t="n"/>
      <c r="G10" s="83" t="inlineStr">
        <is>
          <t xml:space="preserve">Checklist gồm 5 tiêu chí:
Bao phủ nghiệp vụ.
Bao phủ ngoại lệ.
Điều kiện đầu vào rõ ràng.
Kết quả mong đợi rõ ràng.
Trình bày đúng chuẩn.
| Kết quả            |   Điểm |
| Đạt 5/5 tiêu chí   | 10 |
| Đạt 4/5 tiêu chí   |  9 |
| Đạt 3/5 tiêu chí   |  8 |
| Đạt 2/5 tiêu chí   |  7 |
| Đạt 0–1/5 tiêu chí |  5 |
</t>
        </is>
      </c>
      <c r="H10" s="157" t="n"/>
      <c r="I10" s="157" t="n"/>
      <c r="J10" s="157" t="inlineStr">
        <is>
          <t>x</t>
        </is>
      </c>
      <c r="K10" s="180" t="n">
        <v>10</v>
      </c>
      <c r="L10" s="157" t="n"/>
      <c r="M10" s="157" t="n"/>
      <c r="N10" s="159" t="inlineStr">
        <is>
          <t>x</t>
        </is>
      </c>
      <c r="O10" s="180" t="n">
        <v>8</v>
      </c>
      <c r="P10" s="128" t="n"/>
      <c r="Q10" s="128" t="n"/>
      <c r="R10" s="128" t="n"/>
      <c r="S10" s="128" t="n"/>
    </row>
    <row r="11" ht="265.5" customHeight="1">
      <c r="A11" s="151" t="n">
        <v>2.3</v>
      </c>
      <c r="B11" s="81" t="inlineStr">
        <is>
          <t>Chất lượng tài liệu &amp; Chuyển giao</t>
        </is>
      </c>
      <c r="C11" s="178" t="n"/>
      <c r="D11" s="154" t="n"/>
      <c r="E11" s="81" t="inlineStr">
        <is>
          <t>Đánh giá chất lượng tài liệu bàn giao và khả năng giúp Operation tiếp nhận công việc thuận lợi.
'- Đánh giá: Test Case, tài liệu hướng dẫn, Release Note, hướng dẫn vận hành, kết quả bàn giao.
- Không đánh giá: Công việc không yêu cầu bàn giao; thay đổi phát sinh sau khi đã bàn giao và được phê duyệt.</t>
        </is>
      </c>
      <c r="F11" s="156" t="n"/>
      <c r="G11" s="83" t="inlineStr">
        <is>
          <t xml:space="preserve">Tiêu chí:
Test Case đầy đủ	
Release Note đầy đủ	
Hướng dẫn rõ ràng	
Operation tiếp nhận được ngay	
Không phát sinh lỗi do thiếu tài liệu
| Kết quả | Điểm KPI |
| 10 điểm |   10 |
| 8 điểm  |    9|
| 6 điểm  |    8 |
| 4 điểm  |    7 |
| ≤2 điểm |    5 |
</t>
        </is>
      </c>
      <c r="H11" s="157" t="n"/>
      <c r="I11" s="157" t="n"/>
      <c r="J11" s="157" t="inlineStr">
        <is>
          <t>x</t>
        </is>
      </c>
      <c r="K11" s="180" t="n">
        <v>10</v>
      </c>
      <c r="L11" s="157" t="n"/>
      <c r="M11" s="157" t="n"/>
      <c r="N11" s="159" t="inlineStr">
        <is>
          <t>x</t>
        </is>
      </c>
      <c r="O11" s="180" t="n">
        <v>8</v>
      </c>
      <c r="P11" s="128" t="n"/>
      <c r="Q11" s="128" t="n"/>
      <c r="R11" s="128" t="n"/>
      <c r="S11" s="128" t="n"/>
    </row>
    <row r="12" ht="129" customHeight="1">
      <c r="A12" s="140" t="n">
        <v>3</v>
      </c>
      <c r="B12" s="169" t="inlineStr">
        <is>
          <t>Cải tiến &amp; Phát triển: 10%</t>
        </is>
      </c>
      <c r="C12" s="185" t="n"/>
      <c r="D12" s="186" t="n"/>
      <c r="E12" s="144" t="n"/>
      <c r="F12" s="286" t="inlineStr">
        <is>
          <t>= 50% x Đóng góp cải tiến + 50% x Tham gia phát triển sản phẩm</t>
        </is>
      </c>
      <c r="G12" s="188" t="n"/>
      <c r="H12" s="189" t="n"/>
      <c r="I12" s="189" t="n"/>
      <c r="J12" s="189" t="n"/>
      <c r="K12" s="297">
        <f>0.5*K13+0.5*K14</f>
        <v/>
      </c>
      <c r="L12" s="190" t="n"/>
      <c r="M12" s="189" t="n"/>
      <c r="N12" s="189" t="n"/>
      <c r="O12" s="297" t="n">
        <v>9.5</v>
      </c>
      <c r="P12" s="128" t="n"/>
      <c r="Q12" s="128" t="n"/>
      <c r="R12" s="128" t="n"/>
      <c r="S12" s="128" t="n"/>
    </row>
    <row r="13" ht="164.25" customHeight="1">
      <c r="A13" s="151" t="n">
        <v>3.1</v>
      </c>
      <c r="B13" s="81" t="inlineStr">
        <is>
          <t>Đóng góp cải tiến</t>
        </is>
      </c>
      <c r="C13" s="178" t="n"/>
      <c r="D13" s="154" t="n"/>
      <c r="E13" s="81" t="inlineStr">
        <is>
          <t>Đánh giá mức độ chủ động cải tiến quy trình, công cụ hoặc cách thức làm việc nhằm nâng cao hiệu quả chung.
'- Đánh giá: Đề xuất cải tiến, cải tiến Test Case, template, checklist, công cụ hỗ trợ, quy trình kiểm thử.
- Không đánh giá: Ý tưởng chưa có cơ sở hoặc không thuộc phạm vi công việc; đề xuất trùng lặp nhưng không có giá trị bổ sung.</t>
        </is>
      </c>
      <c r="F13" s="156" t="n"/>
      <c r="G13" s="83" t="inlineStr">
        <is>
          <t xml:space="preserve">Điểm --- Kết quả
10 --- Có cải tiến được áp dụng hoặc được Leader ghi nhận mang lại hiệu quả rõ ràng
9 ---Hoàn thành đầy đủ nhiệm vụ cải tiến được giao 
8 ---  Có đề xuất hợp lý nhưng chưa triển khai  
7 ---- Có tham gia nhưng đóng góp hạn chế           
5 ---- Không tham gia                                             
</t>
        </is>
      </c>
      <c r="H13" s="157" t="n"/>
      <c r="I13" s="157" t="n"/>
      <c r="J13" s="157" t="inlineStr">
        <is>
          <t>x</t>
        </is>
      </c>
      <c r="K13" s="180" t="n">
        <v>10</v>
      </c>
      <c r="L13" s="157" t="n"/>
      <c r="M13" s="157" t="n"/>
      <c r="N13" s="159" t="inlineStr">
        <is>
          <t>x</t>
        </is>
      </c>
      <c r="O13" s="180" t="n">
        <v>8</v>
      </c>
      <c r="P13" s="128" t="n"/>
      <c r="Q13" s="128" t="n"/>
      <c r="R13" s="128" t="n"/>
      <c r="S13" s="128" t="n"/>
    </row>
    <row r="14" ht="162.75" customHeight="1">
      <c r="A14" s="151" t="n">
        <v>3.2</v>
      </c>
      <c r="B14" s="81" t="inlineStr">
        <is>
          <t>Tham gia phát triển sản phẩm</t>
        </is>
      </c>
      <c r="C14" s="178" t="n"/>
      <c r="D14" s="154" t="n"/>
      <c r="E14" s="81" t="inlineStr">
        <is>
          <t>Đánh giá việc tham gia các hoạt động phát triển sản phẩm ngoài nhiệm vụ kiểm thử theo phân công.
'- Đánh giá: Tham gia phân tích nghiệp vụ, review tài liệu, hỗ trợ BA/Dev, nghiên cứu tính năng, hỗ trợ triển khai.
- Không đánh giá: Công việc ngoài phạm vi được phân công; nhiệm vụ không thuộc kế hoạch của phòng.</t>
        </is>
      </c>
      <c r="F14" s="156" t="n"/>
      <c r="G14" s="81" t="inlineStr">
        <is>
          <t xml:space="preserve">| Kết quả |   Điểm |
| ≥100%   | 10 |
| 95–99%  |  9 |
| 90–94%  |  8 |
| 80–89%  |  7 |
| &lt;80%    |  5 |
</t>
        </is>
      </c>
      <c r="H14" s="157" t="n"/>
      <c r="I14" s="157" t="n"/>
      <c r="J14" s="157" t="n">
        <v>1</v>
      </c>
      <c r="K14" s="180" t="n">
        <v>10</v>
      </c>
      <c r="L14" s="157" t="n"/>
      <c r="M14" s="157" t="n"/>
      <c r="N14" s="157" t="n">
        <v>0.95</v>
      </c>
      <c r="O14" s="180" t="n">
        <v>6</v>
      </c>
      <c r="P14" s="128" t="n"/>
      <c r="Q14" s="128" t="n"/>
      <c r="R14" s="128" t="n"/>
      <c r="S14" s="128" t="n"/>
    </row>
    <row r="15" ht="133.5" customHeight="1">
      <c r="A15" s="140" t="n">
        <v>4</v>
      </c>
      <c r="B15" s="169" t="inlineStr">
        <is>
          <t>Tuân thủ quy trình &amp; Phối hợp: 10%</t>
        </is>
      </c>
      <c r="C15" s="185" t="n"/>
      <c r="D15" s="186" t="n"/>
      <c r="E15" s="144" t="n"/>
      <c r="F15" s="286" t="inlineStr">
        <is>
          <t>= 50% x Tuân thủ quy trình + 50% x Phối hợp làm việc</t>
        </is>
      </c>
      <c r="G15" s="188" t="n"/>
      <c r="H15" s="189" t="n"/>
      <c r="I15" s="189" t="n"/>
      <c r="J15" s="189" t="n"/>
      <c r="K15" s="297">
        <f>0.5*K16+0.5*K17</f>
        <v/>
      </c>
      <c r="L15" s="190" t="n"/>
      <c r="M15" s="189" t="n"/>
      <c r="N15" s="189" t="n"/>
      <c r="O15" s="297">
        <f>0.5*O16+0.5*O17</f>
        <v/>
      </c>
      <c r="P15" s="128" t="n"/>
      <c r="Q15" s="128" t="n"/>
      <c r="R15" s="128" t="n"/>
      <c r="S15" s="128" t="n"/>
    </row>
    <row r="16" ht="249" customHeight="1">
      <c r="A16" s="151" t="n">
        <v>4.1</v>
      </c>
      <c r="B16" s="81" t="inlineStr">
        <is>
          <t>Tuân thủ quy trình</t>
        </is>
      </c>
      <c r="C16" s="178" t="n"/>
      <c r="D16" s="154" t="n"/>
      <c r="E16" s="82" t="inlineStr">
        <is>
          <t>Đánh giá việc thực hiện đúng các quy trình, quy định và tiêu chuẩn kiểm thử của công ty.
'- Đánh giá: Quy trình kiểm thử, quy trình Release, quy định quản lý tài liệu, quy định báo cáo.
- Không đánh giá: Nội dung đã được Leader chấp thuận ngoại lệ; thay đổi quy trình chưa được ban hành chính thức.</t>
        </is>
      </c>
      <c r="F16" s="156" t="n"/>
      <c r="G16" s="83" t="inlineStr">
        <is>
          <t xml:space="preserve">Rubric gồm:
Thực hiện đúng quy trình kiểm thử
Cập nhật Jira đầy đủ và đúng thời điểm	
Quản lý Test Case đúng quy định	
Lưu trữ tài liệu đúng quy định	
Tuân thủ quy trình Release/Bàn giao
| Kết quả   |   Điểm |
| Đạt 5/5   | 10|
| Đạt 4/5   |  9 |
| Đạt 3/5   |  8 |
| Đạt 2/5   |  7 |
| Đạt 0–1/5 |  5 |
</t>
        </is>
      </c>
      <c r="H16" s="157" t="n"/>
      <c r="I16" s="157" t="n"/>
      <c r="J16" s="157" t="inlineStr">
        <is>
          <t>x</t>
        </is>
      </c>
      <c r="K16" s="180" t="n">
        <v>10</v>
      </c>
      <c r="L16" s="157" t="n"/>
      <c r="M16" s="157" t="n"/>
      <c r="N16" s="159" t="inlineStr">
        <is>
          <t>x</t>
        </is>
      </c>
      <c r="O16" s="180" t="n">
        <v>10</v>
      </c>
      <c r="P16" s="128" t="n"/>
      <c r="Q16" s="128" t="n"/>
      <c r="R16" s="128" t="n"/>
      <c r="S16" s="128" t="n"/>
    </row>
    <row r="17" ht="249" customHeight="1">
      <c r="A17" s="151" t="n">
        <v>4.2</v>
      </c>
      <c r="B17" s="81" t="inlineStr">
        <is>
          <t>Phối hợp làm việc</t>
        </is>
      </c>
      <c r="C17" s="178" t="n"/>
      <c r="D17" s="154" t="n"/>
      <c r="E17" s="82" t="inlineStr">
        <is>
          <t>Đánh giá khả năng phối hợp với BA, Developer, Operation và các bộ phận liên quan trong quá trình thực hiện công việc.
'- Đánh giá: Chủ động trao đổi, phản hồi, phối hợp xử lý công việc, hỗ trợ đồng đội, tinh thần hợp tác.
- Không đánh giá: Năng lực chuyên môn của bộ phận khác; kết quả cuối cùng của dự án nếu không thuộc trách nhiệm của Tester; yếu tố cá nhân không ảnh hưởng đến công việc.</t>
        </is>
      </c>
      <c r="F17" s="156" t="n"/>
      <c r="G17" s="83" t="inlineStr">
        <is>
          <t xml:space="preserve">Rubric gồm:
Chủ động.
Giao tiếp.
Hợp tác với BA.
Hợp tác với Dev.
Hợp tác với Operation.
| Kết quả               |   Điểm |
| Đạt đầy đủ 5 tiêu chí | 10 |
| Đạt 4 tiêu chí        |  9 |
| Đạt 3 tiêu chí        |  8 |
| Đạt 2 tiêu chí        |  7 |
| Đạt 0–1 tiêu chí     |  5 |
</t>
        </is>
      </c>
      <c r="H17" s="157" t="n"/>
      <c r="I17" s="157" t="n"/>
      <c r="J17" s="157" t="inlineStr">
        <is>
          <t>x</t>
        </is>
      </c>
      <c r="K17" s="180" t="n">
        <v>10</v>
      </c>
      <c r="L17" s="157" t="n"/>
      <c r="M17" s="157" t="n"/>
      <c r="N17" s="159" t="inlineStr">
        <is>
          <t>x</t>
        </is>
      </c>
      <c r="O17" s="180" t="n">
        <v>8</v>
      </c>
      <c r="P17" s="128" t="n"/>
      <c r="Q17" s="128" t="n"/>
      <c r="R17" s="128" t="n"/>
      <c r="S17" s="128" t="n"/>
    </row>
    <row r="18" ht="40.5" customHeight="1">
      <c r="A18" s="196" t="inlineStr">
        <is>
          <t>B.</t>
        </is>
      </c>
      <c r="B18" s="197" t="inlineStr">
        <is>
          <t>TINH THẦN VÀ TRÁCH NHIỆM (TỶ TRỌNG: 20%)</t>
        </is>
      </c>
      <c r="C18" s="198" t="n"/>
      <c r="D18" s="199">
        <f>SUBTOTAL(9,D19:D21)</f>
        <v/>
      </c>
      <c r="E18" s="200" t="n"/>
      <c r="F18" s="285" t="inlineStr">
        <is>
          <t>= Trọng số * Điểm đạt * Tỷ trọng</t>
        </is>
      </c>
      <c r="G18" s="201" t="n"/>
      <c r="H18" s="202" t="n"/>
      <c r="I18" s="202" t="n"/>
      <c r="J18" s="202" t="n"/>
      <c r="K18" s="311">
        <f>SUBTOTAL(9,K19:K21)</f>
        <v/>
      </c>
      <c r="L18" s="312" t="n"/>
      <c r="M18" s="205" t="n"/>
      <c r="N18" s="206" t="n"/>
      <c r="O18" s="299">
        <f>SUBTOTAL(9,O19:O21)</f>
        <v/>
      </c>
      <c r="P18" s="208" t="n"/>
      <c r="Q18" s="209" t="n"/>
      <c r="R18" s="210" t="n"/>
      <c r="S18" s="211" t="n"/>
      <c r="T18" s="211" t="n"/>
    </row>
    <row r="19" ht="45" customHeight="1">
      <c r="A19" s="212" t="n">
        <v>1</v>
      </c>
      <c r="B19" s="213" t="inlineStr">
        <is>
          <t>Chủ động trong công việc</t>
        </is>
      </c>
      <c r="C19" s="167" t="n">
        <v>10</v>
      </c>
      <c r="D19" s="214" t="n">
        <v>0.3</v>
      </c>
      <c r="E19" s="215" t="inlineStr">
        <is>
          <t>Theo bảng tiêu chí B, C</t>
        </is>
      </c>
      <c r="F19" s="216" t="n"/>
      <c r="G19" s="216" t="n"/>
      <c r="H19" s="217" t="n">
        <v>10</v>
      </c>
      <c r="I19" s="300">
        <f>H19/C19</f>
        <v/>
      </c>
      <c r="J19" s="219" t="inlineStr">
        <is>
          <t>x</t>
        </is>
      </c>
      <c r="K19" s="219">
        <f>$D19*$I19*20%</f>
        <v/>
      </c>
      <c r="L19" s="220" t="n">
        <v>9</v>
      </c>
      <c r="M19" s="301">
        <f>L19/C19</f>
        <v/>
      </c>
      <c r="N19" s="167" t="inlineStr">
        <is>
          <t>x</t>
        </is>
      </c>
      <c r="O19" s="302">
        <f>$D19*$M19*20%</f>
        <v/>
      </c>
      <c r="P19" s="208" t="n"/>
      <c r="Q19" s="223" t="n"/>
      <c r="R19" s="224" t="n"/>
      <c r="S19" s="225" t="n"/>
      <c r="T19" s="225" t="n"/>
    </row>
    <row r="20" ht="45" customHeight="1">
      <c r="A20" s="212" t="n">
        <v>2</v>
      </c>
      <c r="B20" s="213" t="inlineStr">
        <is>
          <t>Phối hợp trong công việc</t>
        </is>
      </c>
      <c r="C20" s="167" t="n">
        <v>10</v>
      </c>
      <c r="D20" s="214" t="n">
        <v>0.3</v>
      </c>
      <c r="F20" s="216" t="n"/>
      <c r="G20" s="216" t="n"/>
      <c r="H20" s="217" t="n">
        <v>10</v>
      </c>
      <c r="I20" s="300">
        <f>H20/C20</f>
        <v/>
      </c>
      <c r="J20" s="219" t="inlineStr">
        <is>
          <t>x</t>
        </is>
      </c>
      <c r="K20" s="219">
        <f>$D20*$I20*20%</f>
        <v/>
      </c>
      <c r="L20" s="226" t="n">
        <v>8</v>
      </c>
      <c r="M20" s="301">
        <f>L20/C20</f>
        <v/>
      </c>
      <c r="N20" s="167" t="inlineStr">
        <is>
          <t>x</t>
        </is>
      </c>
      <c r="O20" s="302">
        <f>$D20*$M20*20%</f>
        <v/>
      </c>
      <c r="P20" s="208" t="n"/>
      <c r="Q20" s="223" t="n"/>
      <c r="R20" s="224" t="n"/>
      <c r="S20" s="225" t="n"/>
      <c r="T20" s="225" t="n"/>
    </row>
    <row r="21" ht="45" customHeight="1">
      <c r="A21" s="212" t="n">
        <v>3</v>
      </c>
      <c r="B21" s="213" t="inlineStr">
        <is>
          <t>Tuân thủ kỷ luật trong công việc, chấp hành yêu cầu cấp trên và các quy định nội quy của Công ty</t>
        </is>
      </c>
      <c r="C21" s="167" t="n">
        <v>10</v>
      </c>
      <c r="D21" s="214" t="n">
        <v>0.4</v>
      </c>
      <c r="E21" s="227" t="n"/>
      <c r="F21" s="216" t="n"/>
      <c r="G21" s="216" t="n"/>
      <c r="H21" s="217" t="n">
        <v>10</v>
      </c>
      <c r="I21" s="300">
        <f>H21/C21</f>
        <v/>
      </c>
      <c r="J21" s="219" t="inlineStr">
        <is>
          <t>x</t>
        </is>
      </c>
      <c r="K21" s="219">
        <f>$D21*$I21*20%</f>
        <v/>
      </c>
      <c r="L21" s="226" t="n">
        <v>10</v>
      </c>
      <c r="M21" s="301">
        <f>L21/C21</f>
        <v/>
      </c>
      <c r="N21" s="167" t="inlineStr">
        <is>
          <t>x</t>
        </is>
      </c>
      <c r="O21" s="302">
        <f>$D21*$M21*20%</f>
        <v/>
      </c>
      <c r="P21" s="208" t="n"/>
      <c r="Q21" s="223" t="n"/>
      <c r="R21" s="224" t="n"/>
      <c r="S21" s="225" t="n"/>
      <c r="T21" s="225" t="n"/>
    </row>
    <row r="22" ht="47.25" customHeight="1">
      <c r="A22" s="196" t="inlineStr">
        <is>
          <t>C.</t>
        </is>
      </c>
      <c r="B22" s="135" t="inlineStr">
        <is>
          <t>KỶ LUẬT LAO ĐỘNG (TỶ TRỌNG: 5%)</t>
        </is>
      </c>
      <c r="C22" s="228" t="n"/>
      <c r="D22" s="229">
        <f>SUBTOTAL(9,D23:D26)</f>
        <v/>
      </c>
      <c r="E22" s="230" t="n"/>
      <c r="F22" s="285" t="inlineStr">
        <is>
          <t>= Trọng số * Điểm đạt * Tỷ trọng</t>
        </is>
      </c>
      <c r="G22" s="231" t="n"/>
      <c r="H22" s="232" t="n"/>
      <c r="I22" s="232" t="n"/>
      <c r="J22" s="232" t="n"/>
      <c r="K22" s="303">
        <f>SUBTOTAL(9,K23:K26)</f>
        <v/>
      </c>
      <c r="L22" s="234" t="n"/>
      <c r="M22" s="235" t="n"/>
      <c r="N22" s="234" t="n"/>
      <c r="O22" s="304">
        <f>SUBTOTAL(9,O23:O26)</f>
        <v/>
      </c>
      <c r="P22" s="208" t="n"/>
      <c r="Q22" s="209" t="n"/>
      <c r="R22" s="210" t="n"/>
      <c r="S22" s="210" t="n"/>
      <c r="T22" s="210" t="n"/>
    </row>
    <row r="23" ht="29.25" customHeight="1">
      <c r="A23" s="212" t="n">
        <v>1</v>
      </c>
      <c r="B23" s="213" t="inlineStr">
        <is>
          <t>Đi muộn, về sớm</t>
        </is>
      </c>
      <c r="C23" s="167" t="n">
        <v>10</v>
      </c>
      <c r="D23" s="214" t="n">
        <v>0.3</v>
      </c>
      <c r="E23" s="237" t="inlineStr">
        <is>
          <t>Theo bảng tiêu chí B, C</t>
        </is>
      </c>
      <c r="F23" s="216" t="n"/>
      <c r="G23" s="216" t="n"/>
      <c r="H23" s="217" t="n">
        <v>10</v>
      </c>
      <c r="I23" s="300">
        <f>H23/C23</f>
        <v/>
      </c>
      <c r="J23" s="219" t="inlineStr">
        <is>
          <t>x</t>
        </is>
      </c>
      <c r="K23" s="305">
        <f>$D23*$I23*5%</f>
        <v/>
      </c>
      <c r="L23" s="167" t="n">
        <v>7</v>
      </c>
      <c r="M23" s="306">
        <f>L23/C23</f>
        <v/>
      </c>
      <c r="N23" s="167" t="inlineStr">
        <is>
          <t>x</t>
        </is>
      </c>
      <c r="O23" s="307">
        <f>$D23*$M23*5%</f>
        <v/>
      </c>
      <c r="P23" s="208" t="n"/>
      <c r="Q23" s="223" t="n"/>
      <c r="R23" s="224" t="n"/>
      <c r="S23" s="225" t="n"/>
      <c r="T23" s="225" t="n"/>
    </row>
    <row r="24" ht="29.25" customHeight="1">
      <c r="A24" s="212" t="n">
        <v>2</v>
      </c>
      <c r="B24" s="213" t="inlineStr">
        <is>
          <t>Nghỉ không phép</t>
        </is>
      </c>
      <c r="C24" s="167" t="n">
        <v>10</v>
      </c>
      <c r="D24" s="214" t="n">
        <v>0.3</v>
      </c>
      <c r="F24" s="216" t="n"/>
      <c r="G24" s="216" t="n"/>
      <c r="H24" s="217" t="n">
        <v>10</v>
      </c>
      <c r="I24" s="300">
        <f>H24/C24</f>
        <v/>
      </c>
      <c r="J24" s="219" t="inlineStr">
        <is>
          <t>x</t>
        </is>
      </c>
      <c r="K24" s="305">
        <f>$D24*$I24*5%</f>
        <v/>
      </c>
      <c r="L24" s="167" t="n">
        <v>7</v>
      </c>
      <c r="M24" s="306">
        <f>L24/C24</f>
        <v/>
      </c>
      <c r="N24" s="167" t="inlineStr">
        <is>
          <t>x</t>
        </is>
      </c>
      <c r="O24" s="307">
        <f>$D24*$M24*5%</f>
        <v/>
      </c>
      <c r="P24" s="208" t="n"/>
      <c r="Q24" s="223" t="n"/>
      <c r="R24" s="224" t="n"/>
      <c r="S24" s="225" t="n"/>
      <c r="T24" s="225" t="n"/>
    </row>
    <row r="25" ht="29.25" customHeight="1">
      <c r="A25" s="212" t="n">
        <v>3</v>
      </c>
      <c r="B25" s="213" t="inlineStr">
        <is>
          <t>Quên không chấm công (check in và check out)</t>
        </is>
      </c>
      <c r="C25" s="167" t="n">
        <v>10</v>
      </c>
      <c r="D25" s="214" t="n">
        <v>0.3</v>
      </c>
      <c r="F25" s="216" t="n"/>
      <c r="G25" s="216" t="n"/>
      <c r="H25" s="217" t="n">
        <v>10</v>
      </c>
      <c r="I25" s="300">
        <f>H25/C25</f>
        <v/>
      </c>
      <c r="J25" s="219" t="inlineStr">
        <is>
          <t>x</t>
        </is>
      </c>
      <c r="K25" s="305">
        <f>$D25*$I25*5%</f>
        <v/>
      </c>
      <c r="L25" s="167" t="n">
        <v>6</v>
      </c>
      <c r="M25" s="306">
        <f>L25/C25</f>
        <v/>
      </c>
      <c r="N25" s="167" t="inlineStr">
        <is>
          <t>x</t>
        </is>
      </c>
      <c r="O25" s="307">
        <f>$D25*$M25*5%</f>
        <v/>
      </c>
      <c r="P25" s="208" t="n"/>
      <c r="Q25" s="223" t="n"/>
      <c r="R25" s="224" t="n"/>
      <c r="S25" s="225" t="n"/>
      <c r="T25" s="225" t="n"/>
    </row>
    <row r="26" ht="29.25" customHeight="1">
      <c r="A26" s="241" t="n">
        <v>4</v>
      </c>
      <c r="B26" s="242" t="inlineStr">
        <is>
          <t>Xanh-Sạch-Đẹp</t>
        </is>
      </c>
      <c r="C26" s="167" t="n">
        <v>10</v>
      </c>
      <c r="D26" s="214" t="n">
        <v>0.1</v>
      </c>
      <c r="E26" s="62" t="n"/>
      <c r="F26" s="216" t="n"/>
      <c r="G26" s="216" t="n"/>
      <c r="H26" s="217" t="n">
        <v>10</v>
      </c>
      <c r="I26" s="300">
        <f>H26/C26</f>
        <v/>
      </c>
      <c r="J26" s="219" t="inlineStr">
        <is>
          <t>x</t>
        </is>
      </c>
      <c r="K26" s="305">
        <f>$D26*$I26*5%</f>
        <v/>
      </c>
      <c r="L26" s="167" t="n">
        <v>6</v>
      </c>
      <c r="M26" s="306">
        <f>L26/C26</f>
        <v/>
      </c>
      <c r="N26" s="167" t="inlineStr">
        <is>
          <t>x</t>
        </is>
      </c>
      <c r="O26" s="307">
        <f>$D26*$M26*5%</f>
        <v/>
      </c>
      <c r="P26" s="208" t="n"/>
      <c r="Q26" s="223" t="n"/>
      <c r="R26" s="224" t="n"/>
      <c r="S26" s="225" t="n"/>
      <c r="T26" s="225" t="n"/>
    </row>
    <row r="27" ht="35.25" customHeight="1">
      <c r="A27" s="243" t="inlineStr">
        <is>
          <t>TỔNG</t>
        </is>
      </c>
      <c r="B27" s="127" t="n"/>
      <c r="C27" s="27" t="n"/>
      <c r="D27" s="244" t="n"/>
      <c r="E27" s="245" t="n"/>
      <c r="F27" s="244" t="n"/>
      <c r="G27" s="244" t="n"/>
      <c r="H27" s="244" t="n"/>
      <c r="I27" s="244" t="n"/>
      <c r="J27" s="244" t="n"/>
      <c r="K27" s="308">
        <f>SUM(K22,K18,K3)</f>
        <v/>
      </c>
      <c r="L27" s="309" t="n"/>
      <c r="M27" s="247" t="n"/>
      <c r="N27" s="247" t="n"/>
      <c r="O27" s="308">
        <f>SUM(O22,O18,O3)</f>
        <v/>
      </c>
      <c r="P27" s="208" t="n"/>
      <c r="Q27" s="248" t="n"/>
      <c r="R27" s="249" t="n"/>
      <c r="S27" s="249" t="n"/>
      <c r="T27" s="250" t="n"/>
    </row>
    <row r="28" ht="35.25" customHeight="1">
      <c r="A28" s="251" t="inlineStr">
        <is>
          <t>TỔNG CỘNG= ((Nhân viên đánh giá *1)+(CBQL đánh giá *2))/3</t>
        </is>
      </c>
      <c r="B28" s="252" t="n"/>
      <c r="C28" s="253" t="n"/>
      <c r="D28" s="253" t="n"/>
      <c r="E28" s="253" t="n"/>
      <c r="F28" s="253" t="n"/>
      <c r="G28" s="253" t="n"/>
      <c r="H28" s="310">
        <f>(K27+O27*2)/3</f>
        <v/>
      </c>
      <c r="I28" s="127" t="n"/>
      <c r="J28" s="127" t="n"/>
      <c r="K28" s="127" t="n"/>
      <c r="L28" s="127" t="n"/>
      <c r="M28" s="127" t="n"/>
      <c r="N28" s="127" t="n"/>
      <c r="O28" s="27" t="n"/>
      <c r="P28" s="255" t="n"/>
      <c r="Q28" s="255" t="n"/>
      <c r="R28" s="255" t="n"/>
      <c r="S28" s="255" t="n"/>
      <c r="T28" s="256" t="n"/>
    </row>
  </sheetData>
  <mergeCells count="11">
    <mergeCell ref="E23:E26"/>
    <mergeCell ref="A27:C27"/>
    <mergeCell ref="C1:C2"/>
    <mergeCell ref="E19:E21"/>
    <mergeCell ref="D1:D2"/>
    <mergeCell ref="F1:F2"/>
    <mergeCell ref="G1:G2"/>
    <mergeCell ref="H28:O28"/>
    <mergeCell ref="H1:K1"/>
    <mergeCell ref="L1:O1"/>
    <mergeCell ref="A1:A2"/>
  </mergeCells>
  <pageMargins left="0.7" right="0.7" top="0.75" bottom="0.75" header="0.3" footer="0.3"/>
  <pageSetup orientation="portrait" paperSize="1"/>
</worksheet>
</file>

<file path=xl/worksheets/sheet3.xml><?xml version="1.0" encoding="utf-8"?>
<worksheet xmlns="http://schemas.openxmlformats.org/spreadsheetml/2006/main">
  <sheetPr>
    <outlinePr summaryBelow="1" summaryRight="1"/>
    <pageSetUpPr/>
  </sheetPr>
  <dimension ref="A1:T38"/>
  <sheetViews>
    <sheetView workbookViewId="0">
      <pane xSplit="4" ySplit="22" topLeftCell="E23" activePane="bottomRight" state="frozen"/>
      <selection pane="topRight"/>
      <selection pane="bottomLeft"/>
      <selection pane="bottomRight" activeCell="A1" sqref="A1"/>
    </sheetView>
  </sheetViews>
  <sheetFormatPr baseColWidth="8" defaultRowHeight="15"/>
  <cols>
    <col width="9.140625" customWidth="1" min="1" max="1"/>
    <col width="37.28515625" customWidth="1" min="2" max="2"/>
    <col width="19.140625" customWidth="1" min="3" max="3"/>
    <col width="17.7109375" customWidth="1" min="4" max="4"/>
    <col width="67.7109375" customWidth="1" min="5" max="5"/>
    <col width="46.7109375" customWidth="1" min="6" max="6"/>
    <col width="36.140625" customWidth="1" min="7" max="7"/>
    <col width="16" customWidth="1" min="8" max="8"/>
    <col width="18.7109375" customWidth="1" min="10" max="10"/>
    <col width="27.42578125" customWidth="1" min="11" max="11"/>
    <col width="18.28515625" customWidth="1" min="12" max="12"/>
    <col width="18.42578125" customWidth="1" min="13" max="13"/>
    <col width="17.7109375" customWidth="1" min="14" max="14"/>
    <col width="35.42578125" customWidth="1" min="15" max="15"/>
  </cols>
  <sheetData>
    <row r="1" ht="30.75" customHeight="1">
      <c r="A1" s="315" t="inlineStr">
        <is>
          <t>STT</t>
        </is>
      </c>
      <c r="B1" s="315" t="inlineStr">
        <is>
          <t>CHỈ TIÊU</t>
        </is>
      </c>
      <c r="C1" s="315" t="inlineStr">
        <is>
          <t>Kế hoạch (Điểm)</t>
        </is>
      </c>
      <c r="D1" s="315" t="inlineStr">
        <is>
          <t>Trọng số</t>
        </is>
      </c>
      <c r="E1" s="316" t="inlineStr">
        <is>
          <t>MÔ TẢ THƯỚC ĐO CHỈ TIÊU</t>
        </is>
      </c>
      <c r="F1" s="317" t="inlineStr">
        <is>
          <t>Công thức Tính</t>
        </is>
      </c>
      <c r="G1" s="317" t="inlineStr">
        <is>
          <t>Công thức Tính (Thang điểm 10)</t>
        </is>
      </c>
      <c r="H1" s="318" t="inlineStr">
        <is>
          <t>NHÂN VIÊN ĐÁNH GIÁ</t>
        </is>
      </c>
      <c r="I1" s="127" t="n"/>
      <c r="J1" s="127" t="n"/>
      <c r="K1" s="27" t="n"/>
      <c r="L1" s="318" t="inlineStr">
        <is>
          <t>CBQL ĐÁNH GIÁ</t>
        </is>
      </c>
      <c r="M1" s="127" t="n"/>
      <c r="N1" s="127" t="n"/>
      <c r="O1" s="27" t="n"/>
      <c r="P1" s="319" t="n"/>
      <c r="Q1" s="319" t="n"/>
      <c r="R1" s="319" t="n"/>
      <c r="S1" s="319" t="n"/>
    </row>
    <row r="2" ht="61.5" customHeight="1">
      <c r="A2" s="320" t="n"/>
      <c r="B2" s="315" t="inlineStr">
        <is>
          <t>Hạng mục</t>
        </is>
      </c>
      <c r="C2" s="320" t="n"/>
      <c r="D2" s="320" t="n"/>
      <c r="E2" s="321" t="n"/>
      <c r="F2" s="322" t="n"/>
      <c r="G2" s="322" t="n"/>
      <c r="H2" s="323" t="inlineStr">
        <is>
          <t>Thực đạt (Tiêu chí B,C)</t>
        </is>
      </c>
      <c r="I2" s="323" t="inlineStr">
        <is>
          <t>Điểm đạt = Thực đạt/Kế hoạch (Tiêu chí B,C)</t>
        </is>
      </c>
      <c r="J2" s="323" t="inlineStr">
        <is>
          <t>Tỷ lệ hoàn thành (Tiêu chí A)</t>
        </is>
      </c>
      <c r="K2" s="324" t="inlineStr">
        <is>
          <t>Điểm KPIs (Tính theo công thức của tùng loại tiêu chí)</t>
        </is>
      </c>
      <c r="L2" s="325" t="inlineStr">
        <is>
          <t>Thực đạt (Tiêu chí B,C)</t>
        </is>
      </c>
      <c r="M2" s="325" t="inlineStr">
        <is>
          <t>Điểm đạt = Thực đạt/Kế hoạch (Tiêu chí B,C)</t>
        </is>
      </c>
      <c r="N2" s="325" t="inlineStr">
        <is>
          <t>Tỷ lệ hoàn thành (Tiêu chí A)</t>
        </is>
      </c>
      <c r="O2" s="318" t="inlineStr">
        <is>
          <t>Điểm KPIs (Tính theo công thức của tùng loại tiêu chí)</t>
        </is>
      </c>
      <c r="P2" s="319" t="n"/>
      <c r="Q2" s="319" t="n"/>
      <c r="R2" s="319" t="n"/>
      <c r="S2" s="319" t="n"/>
    </row>
    <row r="3" ht="45.75" customHeight="1">
      <c r="A3" s="326" t="inlineStr">
        <is>
          <t xml:space="preserve">A. </t>
        </is>
      </c>
      <c r="B3" s="327" t="inlineStr">
        <is>
          <t>HIỆU QUẢ CÔNG VIỆC (TỶ TRỌNG: Max = 100%)</t>
        </is>
      </c>
      <c r="C3" s="328" t="n"/>
      <c r="D3" s="328" t="n"/>
      <c r="E3" s="328" t="n"/>
      <c r="F3" s="329" t="inlineStr">
        <is>
          <t xml:space="preserve"> = 35% * Delivery + 20% * Quality + 5% * Reliability + 5% * Collaboration + 5% * Growth + 10% * Leadership + 20% * Impact Bonus</t>
        </is>
      </c>
      <c r="G3" s="328" t="n"/>
      <c r="H3" s="330" t="n"/>
      <c r="I3" s="330" t="n"/>
      <c r="J3" s="330" t="n"/>
      <c r="K3" s="331">
        <f>(0.35*K4+0.2*K9+0.05*K15+0.05*K16+0.05*K17+0.1*K18+0.2*K23)/10</f>
        <v/>
      </c>
      <c r="L3" s="331" t="n"/>
      <c r="M3" s="330" t="n"/>
      <c r="N3" s="330" t="n"/>
      <c r="O3" s="331">
        <f>(0.35*O4+0.2*O9+0.05*O15+0.05*O16+0.05*O17+0.1*O18+0.2*O23)/10</f>
        <v/>
      </c>
      <c r="P3" s="319" t="n"/>
      <c r="Q3" s="319" t="n"/>
      <c r="R3" s="319" t="n"/>
      <c r="S3" s="319" t="n"/>
    </row>
    <row r="4" ht="61.5" customHeight="1">
      <c r="A4" s="332" t="n">
        <v>1</v>
      </c>
      <c r="B4" s="333" t="inlineStr">
        <is>
          <t>Delivery KPI</t>
        </is>
      </c>
      <c r="C4" s="334" t="n"/>
      <c r="D4" s="335" t="n"/>
      <c r="E4" s="336" t="inlineStr">
        <is>
          <t xml:space="preserve">Tiêu chí: Delivery phản ánh khả năng chuyển giao công việc đã cam kết thành kết quả có giá trị.
</t>
        </is>
      </c>
      <c r="F4" s="337" t="inlineStr">
        <is>
          <t xml:space="preserve"> = 40% × Commitment Achievement + 25% × Schedule Performance + 20% × Work Throughput + 15% × Delivery Ownership</t>
        </is>
      </c>
      <c r="G4" s="338" t="n"/>
      <c r="H4" s="339" t="n"/>
      <c r="I4" s="339" t="n"/>
      <c r="J4" s="339" t="n"/>
      <c r="K4" s="340">
        <f>0.4*K5+0.25*K6+0.2*K7+0.15*K8</f>
        <v/>
      </c>
      <c r="L4" s="341" t="n"/>
      <c r="M4" s="342" t="n"/>
      <c r="N4" s="342" t="n"/>
      <c r="O4" s="342">
        <f>0.4*O5+0.25*O6+0.2*O7+0.15*O8</f>
        <v/>
      </c>
      <c r="P4" s="319" t="n"/>
      <c r="Q4" s="319" t="n"/>
      <c r="R4" s="319" t="n"/>
      <c r="S4" s="319" t="n"/>
    </row>
    <row r="5" ht="137.25" customHeight="1">
      <c r="A5" s="343" t="n">
        <v>1.1</v>
      </c>
      <c r="B5" s="344" t="inlineStr">
        <is>
          <t>Commitment Achievement</t>
        </is>
      </c>
      <c r="C5" s="345" t="n"/>
      <c r="D5" s="346" t="n"/>
      <c r="E5" s="347" t="inlineStr">
        <is>
          <t>- Tiêu chí: Hoàn thành công việc đã cam kết
- Đánh giá khả năng hoàn thành các Jira Task/Ticket đã cam kết.
Không tính:
- Ticket bị hủy
- Scope thay đổi do PO/BA
- Công việc chưa đủ điều kiện triển khai
- Blocker ngoài khả năng kiểm soát</t>
        </is>
      </c>
      <c r="F5" s="348" t="inlineStr">
        <is>
          <t xml:space="preserve">Công thức: Tỷ lệ hoàn thành -- Điểm
≥100%     --	100
95–99%   --	95
90–94%	 -- 90
80–89%	 -- 80
&lt;80%	 -- 60
</t>
        </is>
      </c>
      <c r="G5" s="348" t="inlineStr">
        <is>
          <t>Công thức: Tỷ lệ hoàn thành -- Điểm
≥100%     --	10
95–99%   --	9.5
90–94%	 -- 9.0
80–89%	 -- 8.0
&lt;80%	 -- 6.0</t>
        </is>
      </c>
      <c r="H5" s="349" t="inlineStr">
        <is>
          <t>x</t>
        </is>
      </c>
      <c r="I5" s="350" t="inlineStr">
        <is>
          <t>x</t>
        </is>
      </c>
      <c r="J5" s="349" t="n">
        <v>1</v>
      </c>
      <c r="K5" s="351" t="n">
        <v>10</v>
      </c>
      <c r="L5" s="349" t="inlineStr">
        <is>
          <t>x</t>
        </is>
      </c>
      <c r="M5" s="349" t="inlineStr">
        <is>
          <t>x</t>
        </is>
      </c>
      <c r="N5" s="349" t="n">
        <v>0.95</v>
      </c>
      <c r="O5" s="351" t="n">
        <v>9.5</v>
      </c>
      <c r="P5" s="319" t="n"/>
      <c r="Q5" s="319" t="n"/>
      <c r="R5" s="319" t="n"/>
      <c r="S5" s="319" t="n"/>
    </row>
    <row r="6" ht="121.5" customHeight="1">
      <c r="A6" s="343" t="n">
        <v>1.2</v>
      </c>
      <c r="B6" s="344" t="inlineStr">
        <is>
          <t>Schedule Performance</t>
        </is>
      </c>
      <c r="C6" s="345" t="n"/>
      <c r="D6" s="346" t="n"/>
      <c r="E6" s="352" t="inlineStr">
        <is>
          <t>-Tiêu chí: Hoàn thành đúng thời hạn
- Đánh giá mức độ hoàn thành đúng thời hạn.
Không tính:
- Delay do Requirement thay đổi
- Delay do hạ tầng
- Delay do phụ thuộc team khác</t>
        </is>
      </c>
      <c r="F6" s="348" t="inlineStr">
        <is>
          <t xml:space="preserve">Công thức: On-time Rate	Điểm
≥95%	100
90–94%	95
80–89%	85
70–79%	75
&lt;70%	60
</t>
        </is>
      </c>
      <c r="G6" s="348" t="inlineStr">
        <is>
          <t>On-time Rate --- Điểm
≥95%	--  10
90–94%	 -- 9.5
80–89%	 --  8.5
70–79%	 --  7.5
&lt;70%	 --   6.0</t>
        </is>
      </c>
      <c r="H6" s="349" t="inlineStr">
        <is>
          <t>x</t>
        </is>
      </c>
      <c r="I6" s="349" t="inlineStr">
        <is>
          <t>x</t>
        </is>
      </c>
      <c r="J6" s="349" t="n">
        <v>1</v>
      </c>
      <c r="K6" s="351" t="n">
        <v>10</v>
      </c>
      <c r="L6" s="349" t="inlineStr">
        <is>
          <t>x</t>
        </is>
      </c>
      <c r="M6" s="349" t="inlineStr">
        <is>
          <t>x</t>
        </is>
      </c>
      <c r="N6" s="349" t="n">
        <v>0.89</v>
      </c>
      <c r="O6" s="351" t="n">
        <v>8.5</v>
      </c>
      <c r="P6" s="319" t="n"/>
      <c r="Q6" s="319" t="n"/>
      <c r="R6" s="319" t="n"/>
      <c r="S6" s="319" t="n"/>
    </row>
    <row r="7" ht="91.5" customHeight="1">
      <c r="A7" s="343" t="n">
        <v>1.3</v>
      </c>
      <c r="B7" s="344" t="inlineStr">
        <is>
          <t>Work Throughput</t>
        </is>
      </c>
      <c r="C7" s="345" t="n"/>
      <c r="D7" s="346" t="n"/>
      <c r="E7" s="352" t="inlineStr">
        <is>
          <t xml:space="preserve">Tiêu chí: Khối lượng công việc hoàn thành theo Scope Score.
Đánh giá công việc hoàn thành dựa trên level/ cấp bậc nhân sự
Notes: 
- Không sử dụng số lượng Task hoặc Ticket.
- Đề xuất sử dụng Scope Score.
</t>
        </is>
      </c>
      <c r="F7" s="353" t="inlineStr">
        <is>
          <t>Công thức: Throughput	Điểm
≥95%	100
90–94%	95
80–89%	85
&lt;80%	70</t>
        </is>
      </c>
      <c r="G7" s="353" t="inlineStr">
        <is>
          <t>Throughput ---  Điểm
≥95%	   10
90–94%	    9.5
80–89%	    8.5
&lt;80%	    7.0</t>
        </is>
      </c>
      <c r="H7" s="349" t="inlineStr">
        <is>
          <t>x</t>
        </is>
      </c>
      <c r="I7" s="349" t="inlineStr">
        <is>
          <t>x</t>
        </is>
      </c>
      <c r="J7" s="354" t="n">
        <v>1</v>
      </c>
      <c r="K7" s="355" t="n">
        <v>10</v>
      </c>
      <c r="L7" s="349" t="inlineStr">
        <is>
          <t>x</t>
        </is>
      </c>
      <c r="M7" s="349" t="inlineStr">
        <is>
          <t>x</t>
        </is>
      </c>
      <c r="N7" s="349" t="n">
        <v>0.8</v>
      </c>
      <c r="O7" s="351" t="n">
        <v>8.5</v>
      </c>
      <c r="P7" s="319" t="n"/>
      <c r="Q7" s="319" t="n"/>
      <c r="R7" s="319" t="n"/>
      <c r="S7" s="319" t="n"/>
    </row>
    <row r="8" ht="167.25" customHeight="1">
      <c r="A8" s="343" t="n">
        <v>1.4</v>
      </c>
      <c r="B8" s="344" t="inlineStr">
        <is>
          <t>Delivery Ownership</t>
        </is>
      </c>
      <c r="C8" s="345" t="n"/>
      <c r="D8" s="346" t="n"/>
      <c r="E8" s="356" t="inlineStr">
        <is>
          <t xml:space="preserve">Tiêu chí: Chủ động xử lý và đảm bảo tiến độ
Đánh giá mức độ chủ động trong quá trình thực hiện.
</t>
        </is>
      </c>
      <c r="F8" s="357" t="inlineStr">
        <is>
          <t>Công thức: Manager đánh giá theo Rubric.
Mức	   -    Tiêu chí
5	Luôn chủ động xử lý blocker, cảnh báo rủi ro sớm, đề xuất phương án khả thi
4	Chủ động trong hầu hết tình huống
3	Hoàn thành công việc được giao, biết báo cáo khi gặp khó khăn
2	Thường xuyên cần nhắc nhở
1	Bị động, ảnh hưởng đến tiến độ chung</t>
        </is>
      </c>
      <c r="G8" s="357" t="inlineStr">
        <is>
          <t>Mức	   -    Tiêu chí
10 --	Luôn chủ động xử lý blocker, cảnh báo rủi ro sớm, đề xuất phương án khả thi
9--	Chủ động trong hầu hết tình huống
7.5--	Hoàn thành công việc được giao, biết báo cáo khi gặp khó khăn
5--	Thường xuyên cần nhắc nhở
2--	Bị động, ảnh hưởng đến tiến độ chung</t>
        </is>
      </c>
      <c r="H8" s="349" t="inlineStr">
        <is>
          <t>x</t>
        </is>
      </c>
      <c r="I8" s="358" t="inlineStr">
        <is>
          <t>x</t>
        </is>
      </c>
      <c r="J8" s="359" t="inlineStr">
        <is>
          <t>x</t>
        </is>
      </c>
      <c r="K8" s="360" t="n">
        <v>10</v>
      </c>
      <c r="L8" s="349" t="inlineStr">
        <is>
          <t>x</t>
        </is>
      </c>
      <c r="M8" s="349" t="inlineStr">
        <is>
          <t>x</t>
        </is>
      </c>
      <c r="N8" s="350" t="inlineStr">
        <is>
          <t>x</t>
        </is>
      </c>
      <c r="O8" s="351" t="n">
        <v>7.5</v>
      </c>
      <c r="P8" s="319" t="n"/>
      <c r="Q8" s="319" t="n"/>
      <c r="R8" s="319" t="n"/>
      <c r="S8" s="319" t="n"/>
    </row>
    <row r="9" ht="61.5" customHeight="1">
      <c r="A9" s="332" t="n">
        <v>2</v>
      </c>
      <c r="B9" s="361" t="inlineStr">
        <is>
          <t>Quality KPI</t>
        </is>
      </c>
      <c r="C9" s="362" t="n"/>
      <c r="D9" s="335" t="n"/>
      <c r="E9" s="363" t="inlineStr">
        <is>
          <t xml:space="preserve">Tiêu chí: Quality phản ánh khả năng tạo ra phần mềm đáp ứng yêu cầu chất lượng trong toàn bộ SDLC, không chỉ là số lượng bug sau khi release.
</t>
        </is>
      </c>
      <c r="F9" s="364" t="inlineStr">
        <is>
          <t>Công thức: Quality Score = 25% × Code Quality + 20% × Testing Quality + 15% × Build &amp; Release Quality + 25% × Production Quality + 15% × Quality Process Compliance</t>
        </is>
      </c>
      <c r="G9" s="365" t="n"/>
      <c r="H9" s="339" t="n"/>
      <c r="I9" s="339" t="n"/>
      <c r="J9" s="366" t="n"/>
      <c r="K9" s="367">
        <f>0.25*K10+0.2*K11+0.15*K12+0.25*K13+0.15*K14</f>
        <v/>
      </c>
      <c r="L9" s="368" t="n"/>
      <c r="M9" s="342" t="n"/>
      <c r="N9" s="342" t="n"/>
      <c r="O9" s="342">
        <f>0.25*O10+0.2*O11+0.15*O12+0.25*O13+0.15*O14</f>
        <v/>
      </c>
      <c r="P9" s="319" t="n"/>
      <c r="Q9" s="319" t="n"/>
      <c r="R9" s="319" t="n"/>
      <c r="S9" s="319" t="n"/>
    </row>
    <row r="10" ht="107.25" customHeight="1">
      <c r="A10" s="343" t="n">
        <v>2.1</v>
      </c>
      <c r="B10" s="369" t="inlineStr">
        <is>
          <t>Code Quality</t>
        </is>
      </c>
      <c r="C10" s="370" t="n"/>
      <c r="D10" s="346" t="n"/>
      <c r="E10" s="371" t="inlineStr">
        <is>
          <t>Đánh giá chất lượng mã nguồn trước khi merge.</t>
        </is>
      </c>
      <c r="F10" s="353" t="inlineStr">
        <is>
          <t xml:space="preserve">Điểm    ---    Đánh giá
95–100	Xuất sắc
90–94	Tốt
80–89	Đạt
70–79	Cần cải thiện
&lt;70	Không đạt
</t>
        </is>
      </c>
      <c r="G10" s="348" t="inlineStr">
        <is>
          <t xml:space="preserve">Điểm    ---    Đánh giá
9.5–10	Xuất sắc
8.5–9.0	Tốt
7.0–8.0	Đạt
5.0–6.5	Cần cải thiện
&lt;4.5	Không đạt
</t>
        </is>
      </c>
      <c r="H10" s="349" t="inlineStr">
        <is>
          <t>x</t>
        </is>
      </c>
      <c r="I10" s="349" t="inlineStr">
        <is>
          <t>x</t>
        </is>
      </c>
      <c r="J10" s="349" t="inlineStr">
        <is>
          <t>x</t>
        </is>
      </c>
      <c r="K10" s="372" t="n">
        <v>10</v>
      </c>
      <c r="L10" s="349" t="inlineStr">
        <is>
          <t>x</t>
        </is>
      </c>
      <c r="M10" s="349" t="inlineStr">
        <is>
          <t>x</t>
        </is>
      </c>
      <c r="N10" s="351" t="inlineStr">
        <is>
          <t>x</t>
        </is>
      </c>
      <c r="O10" s="372" t="n">
        <v>8.5</v>
      </c>
      <c r="P10" s="319" t="n"/>
      <c r="Q10" s="319" t="n"/>
      <c r="R10" s="319" t="n"/>
      <c r="S10" s="319" t="n"/>
    </row>
    <row r="11" ht="107.25" customHeight="1">
      <c r="A11" s="343" t="n">
        <v>2.2</v>
      </c>
      <c r="B11" s="369" t="inlineStr">
        <is>
          <t>Testing Quality</t>
        </is>
      </c>
      <c r="C11" s="370" t="n"/>
      <c r="D11" s="346" t="n"/>
      <c r="E11" s="373" t="inlineStr">
        <is>
          <t>Đánh giá chất lượng kiểm thử (self test)
Tham số đầu vào:
- Unit Test Coverage
- Integration Test
- Regression Test
- Test Pass Rate
- Flaky Test</t>
        </is>
      </c>
      <c r="F11" s="374" t="n"/>
      <c r="G11" s="374" t="n"/>
      <c r="H11" s="349" t="inlineStr">
        <is>
          <t>x</t>
        </is>
      </c>
      <c r="I11" s="349" t="inlineStr">
        <is>
          <t>x</t>
        </is>
      </c>
      <c r="J11" s="349" t="inlineStr">
        <is>
          <t>x</t>
        </is>
      </c>
      <c r="K11" s="372" t="n">
        <v>10</v>
      </c>
      <c r="L11" s="349" t="inlineStr">
        <is>
          <t>x</t>
        </is>
      </c>
      <c r="M11" s="349" t="inlineStr">
        <is>
          <t>x</t>
        </is>
      </c>
      <c r="N11" s="351" t="inlineStr">
        <is>
          <t>x</t>
        </is>
      </c>
      <c r="O11" s="372" t="n">
        <v>9</v>
      </c>
      <c r="P11" s="319" t="n"/>
      <c r="Q11" s="319" t="n"/>
      <c r="R11" s="319" t="n"/>
      <c r="S11" s="319" t="n"/>
    </row>
    <row r="12" ht="91.5" customHeight="1">
      <c r="A12" s="343" t="n">
        <v>2.3</v>
      </c>
      <c r="B12" s="369" t="inlineStr">
        <is>
          <t xml:space="preserve">Build &amp; Release Quality </t>
        </is>
      </c>
      <c r="C12" s="370" t="n"/>
      <c r="D12" s="346" t="n"/>
      <c r="E12" s="375" t="inlineStr">
        <is>
          <t>Đánh giá chất lượng build.
Tham số:
- Build Success Rate
- Failed Build
- Rollback
- Release Checklist</t>
        </is>
      </c>
      <c r="F12" s="348" t="inlineStr">
        <is>
          <t xml:space="preserve">Điều kiện  ---	Điểm
Không lỗi build, không rollback	100
1 failed build nhỏ	95
Nhiều failed build	80
Rollback Production	60
</t>
        </is>
      </c>
      <c r="G12" s="348" t="inlineStr">
        <is>
          <t>Điều kiện  ---	Điểm
Không lỗi build, không rollback	-- 10
1 failed build nhỏ	---   9.5
Nhiều failed build --  	8.0
Rollback Production  ---  6.0</t>
        </is>
      </c>
      <c r="H12" s="349" t="inlineStr">
        <is>
          <t>x</t>
        </is>
      </c>
      <c r="I12" s="349" t="inlineStr">
        <is>
          <t>x</t>
        </is>
      </c>
      <c r="J12" s="349" t="inlineStr">
        <is>
          <t>x</t>
        </is>
      </c>
      <c r="K12" s="372" t="n">
        <v>10</v>
      </c>
      <c r="L12" s="349" t="inlineStr">
        <is>
          <t>x</t>
        </is>
      </c>
      <c r="M12" s="349" t="inlineStr">
        <is>
          <t>x</t>
        </is>
      </c>
      <c r="N12" s="351" t="inlineStr">
        <is>
          <t>x</t>
        </is>
      </c>
      <c r="O12" s="372" t="n">
        <v>9.5</v>
      </c>
      <c r="P12" s="319" t="n"/>
      <c r="Q12" s="319" t="n"/>
      <c r="R12" s="319" t="n"/>
      <c r="S12" s="319" t="n"/>
    </row>
    <row r="13" ht="107.25" customHeight="1">
      <c r="A13" s="343" t="n">
        <v>2.4</v>
      </c>
      <c r="B13" s="369" t="inlineStr">
        <is>
          <t>Production Quality</t>
        </is>
      </c>
      <c r="C13" s="370" t="n"/>
      <c r="D13" s="346" t="n"/>
      <c r="E13" s="375" t="inlineStr">
        <is>
          <t>Đây là nhóm phản ánh Outcome của Quality.
Tham số:
- Escaped Defects
- Critical Bug
- P1 Incident
- Customer Complaint</t>
        </is>
      </c>
      <c r="F13" s="353" t="inlineStr">
        <is>
          <t xml:space="preserve">Điều kiện	Điểm
Không Critical Bug	100
1 Minor Bug	95
2 Minor Bug	90
Có Critical Bug	70
Có P1 Incident	50
</t>
        </is>
      </c>
      <c r="G13" s="353" t="inlineStr">
        <is>
          <t xml:space="preserve">Điều kiện ---	Điểm
Không Critical Bug ---	10
1 Minor Bug	--- 9.5
2 Minor Bug	--- 9.0
Có Critical Bug ---	7.0
Có P1 Incident ---	5.0
</t>
        </is>
      </c>
      <c r="H13" s="349" t="inlineStr">
        <is>
          <t>x</t>
        </is>
      </c>
      <c r="I13" s="349" t="inlineStr">
        <is>
          <t>x</t>
        </is>
      </c>
      <c r="J13" s="349" t="inlineStr">
        <is>
          <t>x</t>
        </is>
      </c>
      <c r="K13" s="372" t="n">
        <v>10</v>
      </c>
      <c r="L13" s="349" t="inlineStr">
        <is>
          <t>x</t>
        </is>
      </c>
      <c r="M13" s="349" t="inlineStr">
        <is>
          <t>x</t>
        </is>
      </c>
      <c r="N13" s="351" t="inlineStr">
        <is>
          <t>x</t>
        </is>
      </c>
      <c r="O13" s="372" t="n">
        <v>9</v>
      </c>
      <c r="P13" s="319" t="n"/>
      <c r="Q13" s="319" t="n"/>
      <c r="R13" s="319" t="n"/>
      <c r="S13" s="319" t="n"/>
    </row>
    <row r="14" ht="121.5" customHeight="1">
      <c r="A14" s="343" t="n">
        <v>2.5</v>
      </c>
      <c r="B14" s="369" t="inlineStr">
        <is>
          <t>Quality Process Compliance</t>
        </is>
      </c>
      <c r="C14" s="370" t="n"/>
      <c r="D14" s="346" t="n"/>
      <c r="E14" s="375" t="inlineStr">
        <is>
          <t>Đánh giá việc tuân thủ Quality Practice.
Tham số: 
- Pull Request Checklist
- Definition of Done
- Coding Standard
- Review Checklist
- Documentation</t>
        </is>
      </c>
      <c r="F14" s="357" t="inlineStr">
        <is>
          <t xml:space="preserve">Mức	Mô tả
5	Luôn tuân thủ đầy đủ quy trình
4	Có thiếu sót nhỏ
3	Đôi khi bỏ qua checklist
2	Thường xuyên vi phạm
1	Không tuân thủ quy trình
</t>
        </is>
      </c>
      <c r="G14" s="357" t="inlineStr">
        <is>
          <t xml:space="preserve">Mức   ---	Mô tả
10	Luôn tuân thủ đầy đủ quy trình
9	Có thiếu sót nhỏ
7.5	Đôi khi bỏ qua checklist
5	Thường xuyên vi phạm
2	Không tuân thủ quy trình
</t>
        </is>
      </c>
      <c r="H14" s="349" t="inlineStr">
        <is>
          <t>x</t>
        </is>
      </c>
      <c r="I14" s="349" t="inlineStr">
        <is>
          <t>x</t>
        </is>
      </c>
      <c r="J14" s="349" t="inlineStr">
        <is>
          <t>x</t>
        </is>
      </c>
      <c r="K14" s="372" t="n">
        <v>10</v>
      </c>
      <c r="L14" s="349" t="inlineStr">
        <is>
          <t>x</t>
        </is>
      </c>
      <c r="M14" s="349" t="inlineStr">
        <is>
          <t>x</t>
        </is>
      </c>
      <c r="N14" s="351" t="inlineStr">
        <is>
          <t>x</t>
        </is>
      </c>
      <c r="O14" s="376" t="n">
        <v>9</v>
      </c>
      <c r="P14" s="319" t="n"/>
      <c r="Q14" s="319" t="n"/>
      <c r="R14" s="319" t="n"/>
      <c r="S14" s="319" t="n"/>
    </row>
    <row r="15" ht="121.5" customHeight="1">
      <c r="A15" s="332" t="n">
        <v>3</v>
      </c>
      <c r="B15" s="361" t="inlineStr">
        <is>
          <t>Reliability KPI</t>
        </is>
      </c>
      <c r="C15" s="377" t="n"/>
      <c r="D15" s="378" t="n"/>
      <c r="E15" s="336" t="inlineStr">
        <is>
          <t>Reliability phản ánh khả năng đảm bảo hệ thống vận hành ổn định sau khi thay đổi.
Collaboration đánh giá:
- Chia sẻ tri thức
- Code Review
- Hỗ trợ đồng đội
- Phối hợp liên nhóm
- Khả năng tạo ảnh hưởng tích cực</t>
        </is>
      </c>
      <c r="F15" s="379" t="inlineStr">
        <is>
          <t>Cá nhân + Manager đánh giá</t>
        </is>
      </c>
      <c r="G15" s="380" t="n"/>
      <c r="H15" s="381" t="n"/>
      <c r="I15" s="381" t="n"/>
      <c r="J15" s="381" t="n">
        <v>1</v>
      </c>
      <c r="K15" s="382" t="n">
        <v>10</v>
      </c>
      <c r="L15" s="382" t="n"/>
      <c r="M15" s="381" t="n"/>
      <c r="N15" s="381" t="n">
        <v>0.95</v>
      </c>
      <c r="O15" s="378" t="n">
        <v>9.5</v>
      </c>
      <c r="P15" s="319" t="n"/>
      <c r="Q15" s="319" t="n"/>
      <c r="R15" s="319" t="n"/>
      <c r="S15" s="319" t="n"/>
    </row>
    <row r="16" ht="121.5" customHeight="1">
      <c r="A16" s="332" t="n">
        <v>4</v>
      </c>
      <c r="B16" s="361" t="inlineStr">
        <is>
          <t>Collaboration KPI</t>
        </is>
      </c>
      <c r="C16" s="377" t="n"/>
      <c r="D16" s="378" t="n"/>
      <c r="E16" s="336" t="inlineStr">
        <is>
          <t>Collaboration phản ánh khả năng phối hợp để nâng cao hiệu quả của Team, không phải khả năng giao tiếp đơn thuần.
Collaboration đánh giá:
- Chia sẻ tri thức
- Code Review
- Hỗ trợ đồng đội
- Phối hợp liên nhóm
- Khả năng tạo ảnh hưởng tích cực</t>
        </is>
      </c>
      <c r="F16" s="379" t="inlineStr">
        <is>
          <t>Tự đánh giá</t>
        </is>
      </c>
      <c r="G16" s="380" t="n"/>
      <c r="H16" s="381" t="n"/>
      <c r="I16" s="381" t="n"/>
      <c r="J16" s="381" t="n">
        <v>1</v>
      </c>
      <c r="K16" s="382" t="n">
        <v>10</v>
      </c>
      <c r="L16" s="382" t="n"/>
      <c r="M16" s="381" t="n"/>
      <c r="N16" s="381" t="n">
        <v>0.9</v>
      </c>
      <c r="O16" s="378" t="n">
        <v>9</v>
      </c>
      <c r="P16" s="319" t="n"/>
      <c r="Q16" s="319" t="n"/>
      <c r="R16" s="319" t="n"/>
      <c r="S16" s="319" t="n"/>
    </row>
    <row r="17" ht="183" customHeight="1">
      <c r="A17" s="332" t="n">
        <v>5</v>
      </c>
      <c r="B17" s="361" t="inlineStr">
        <is>
          <t>Growth KPI</t>
        </is>
      </c>
      <c r="C17" s="377" t="n"/>
      <c r="D17" s="378" t="n"/>
      <c r="E17" s="383" t="inlineStr">
        <is>
          <t>Growth phản ánh sự phát triển năng lực của cá nhân và khả năng đóng góp vào sự phát triển năng lực của tổ chức.
Growth không đánh giá:
- Số giờ học
- Số chứng chỉ
- Số khóa học tham gia
Growth đánh giá:
- Mức độ phát triển kỹ năng
- Áp dụng kiến thức vào công việc
- Đóng góp cải tiến
- Khả năng phát triển người khác</t>
        </is>
      </c>
      <c r="F17" s="384" t="inlineStr">
        <is>
          <t>Tự đánh giá</t>
        </is>
      </c>
      <c r="G17" s="385" t="n"/>
      <c r="H17" s="386" t="n"/>
      <c r="I17" s="386" t="n"/>
      <c r="J17" s="386" t="n">
        <v>1</v>
      </c>
      <c r="K17" s="387" t="n">
        <v>10</v>
      </c>
      <c r="L17" s="387" t="n"/>
      <c r="M17" s="381" t="n"/>
      <c r="N17" s="381" t="n">
        <v>0.8</v>
      </c>
      <c r="O17" s="378" t="n">
        <v>8</v>
      </c>
      <c r="P17" s="319" t="n"/>
      <c r="Q17" s="319" t="n"/>
      <c r="R17" s="319" t="n"/>
      <c r="S17" s="319" t="n"/>
    </row>
    <row r="18" ht="61.5" customHeight="1">
      <c r="A18" s="332" t="n">
        <v>6</v>
      </c>
      <c r="B18" s="361" t="inlineStr">
        <is>
          <t>Leadership</t>
        </is>
      </c>
      <c r="C18" s="377" t="n"/>
      <c r="D18" s="382" t="n"/>
      <c r="E18" s="466" t="inlineStr">
        <is>
          <t>Đánh giá khả năng lãnh đạo kỹ thuật và phát triển đội ngũ</t>
        </is>
      </c>
      <c r="F18" s="383" t="inlineStr">
        <is>
          <t>Công thức: 30% * Team Delivery Management + 30% *People Leadership + 20% * Team Operation +18:1820% * Engineering Governace</t>
        </is>
      </c>
      <c r="G18" s="385" t="n"/>
      <c r="H18" s="386" t="n"/>
      <c r="I18" s="386" t="n"/>
      <c r="J18" s="386" t="inlineStr">
        <is>
          <t>x</t>
        </is>
      </c>
      <c r="K18" s="387" t="n">
        <v>0</v>
      </c>
      <c r="L18" s="387" t="n"/>
      <c r="M18" s="381" t="n"/>
      <c r="N18" s="381" t="inlineStr">
        <is>
          <t>x</t>
        </is>
      </c>
      <c r="O18" s="378" t="n">
        <v>0</v>
      </c>
      <c r="P18" s="319" t="n"/>
      <c r="Q18" s="319" t="n"/>
      <c r="R18" s="319" t="n"/>
      <c r="S18" s="319" t="n"/>
    </row>
    <row r="19" ht="91.5" customHeight="1">
      <c r="A19" s="343" t="n">
        <v>6.1</v>
      </c>
      <c r="B19" s="369" t="inlineStr">
        <is>
          <t>Team Delivery Management</t>
        </is>
      </c>
      <c r="C19" s="370" t="n"/>
      <c r="D19" s="346" t="n"/>
      <c r="E19" s="467" t="inlineStr">
        <is>
          <t>Đo khả năng giúp team hoàn thành công việc.
Đánh giá dựa trên:
- Planning
- Risk management
- Workload balancing
- Blocker removal</t>
        </is>
      </c>
      <c r="F19" s="357" t="inlineStr">
        <is>
          <t>Tự đánh giá</t>
        </is>
      </c>
      <c r="G19" s="357" t="n"/>
      <c r="H19" s="349" t="n"/>
      <c r="I19" s="349" t="n"/>
      <c r="J19" s="349" t="n"/>
      <c r="K19" s="372" t="n"/>
      <c r="L19" s="349" t="n"/>
      <c r="M19" s="349" t="n"/>
      <c r="N19" s="351" t="n"/>
      <c r="O19" s="376" t="n"/>
      <c r="P19" s="319" t="n"/>
      <c r="Q19" s="319" t="n"/>
      <c r="R19" s="319" t="n"/>
      <c r="S19" s="319" t="n"/>
    </row>
    <row r="20" ht="76.5" customHeight="1">
      <c r="A20" s="343" t="n">
        <v>6.2</v>
      </c>
      <c r="B20" s="369" t="inlineStr">
        <is>
          <t>Đo khả năng phát triển con người.</t>
        </is>
      </c>
      <c r="C20" s="370" t="n"/>
      <c r="D20" s="346" t="n"/>
      <c r="E20" s="375" t="inlineStr">
        <is>
          <t>- mentoring
- coaching
- onboarding
- technical guidance
- phát triển Junior</t>
        </is>
      </c>
      <c r="F20" s="357" t="inlineStr">
        <is>
          <t>Tự đánh giá</t>
        </is>
      </c>
      <c r="G20" s="357" t="n"/>
      <c r="H20" s="349" t="n"/>
      <c r="I20" s="349" t="n"/>
      <c r="J20" s="349" t="n"/>
      <c r="K20" s="372" t="n"/>
      <c r="L20" s="349" t="n"/>
      <c r="M20" s="349" t="n"/>
      <c r="N20" s="351" t="n"/>
      <c r="O20" s="376" t="n"/>
      <c r="P20" s="319" t="n"/>
      <c r="Q20" s="319" t="n"/>
      <c r="R20" s="319" t="n"/>
      <c r="S20" s="319" t="n"/>
    </row>
    <row r="21" ht="15.75" customHeight="1">
      <c r="A21" s="343" t="n">
        <v>6.3</v>
      </c>
      <c r="B21" s="369" t="inlineStr">
        <is>
          <t>Team Operation</t>
        </is>
      </c>
      <c r="C21" s="370" t="n"/>
      <c r="D21" s="346" t="n"/>
      <c r="E21" s="375" t="inlineStr">
        <is>
          <t>Quản lý hoạt động của team theo qui trình</t>
        </is>
      </c>
      <c r="F21" s="357" t="inlineStr">
        <is>
          <t>Tự đánh giá</t>
        </is>
      </c>
      <c r="G21" s="357" t="n"/>
      <c r="H21" s="349" t="n"/>
      <c r="I21" s="349" t="n"/>
      <c r="J21" s="349" t="n"/>
      <c r="K21" s="372" t="n"/>
      <c r="L21" s="349" t="n"/>
      <c r="M21" s="349" t="n"/>
      <c r="N21" s="351" t="n"/>
      <c r="O21" s="376" t="n"/>
      <c r="P21" s="319" t="n"/>
      <c r="Q21" s="319" t="n"/>
      <c r="R21" s="319" t="n"/>
      <c r="S21" s="319" t="n"/>
    </row>
    <row r="22" ht="15.75" customHeight="1">
      <c r="A22" s="343" t="n">
        <v>6.4</v>
      </c>
      <c r="B22" s="369" t="inlineStr">
        <is>
          <t>Engineering Governance</t>
        </is>
      </c>
      <c r="C22" s="370" t="n"/>
      <c r="D22" s="346" t="n"/>
      <c r="E22" s="375" t="inlineStr">
        <is>
          <t>Duy trì chuẩn kỹ thuật</t>
        </is>
      </c>
      <c r="F22" s="357" t="inlineStr">
        <is>
          <t>Tự đánh giá</t>
        </is>
      </c>
      <c r="G22" s="357" t="n"/>
      <c r="H22" s="349" t="n"/>
      <c r="I22" s="349" t="n"/>
      <c r="J22" s="349" t="n"/>
      <c r="K22" s="372" t="n"/>
      <c r="L22" s="349" t="n"/>
      <c r="M22" s="349" t="n"/>
      <c r="N22" s="351" t="n"/>
      <c r="O22" s="376" t="n"/>
      <c r="P22" s="319" t="n"/>
      <c r="Q22" s="319" t="n"/>
      <c r="R22" s="319" t="n"/>
      <c r="S22" s="319" t="n"/>
    </row>
    <row r="23" ht="290.25" customHeight="1">
      <c r="A23" s="332" t="n">
        <v>7</v>
      </c>
      <c r="B23" s="361" t="inlineStr">
        <is>
          <t>Impact Bonus</t>
        </is>
      </c>
      <c r="C23" s="377" t="n"/>
      <c r="D23" s="378" t="n"/>
      <c r="E23" s="383" t="inlineStr">
        <is>
          <t>Ghi nhận các giá trị phát sinh ngoài kế hoạch. 
Ví dụ cho dev:
- phát hiện bug nghiêm trọng trước khi release
- nghĩ ra giải pháp giúp giảm 70% thời gian build
- cứu production lúc nửa đêm
- viết framework dùng chung cho toàn công ty
Để tránh cảm tính, mỗi đóng góp nên đáp ứng đủ các tiêu chí:
- Không nằm trong kế hoạch KPI ban đầu.
- Có bằng chứng rõ ràng (PR, RFC, tài liệu, RCA, dashboard, số liệu...).
- Được quản lý hoặc hội đồng xác nhận.
- Tạo ra giá trị đo được hoặc tác động rõ ràng.</t>
        </is>
      </c>
      <c r="F23" s="388" t="inlineStr">
        <is>
          <t>Công thức:
- 0%: Không có đóng góp
- 25%: Đóng góp tạo giá trị cho bản thân hoặc một hạng mục nhỏ. Ví dụ: automation cá nhân, phát hiện bug quan trọng, cải tiến workflow cá nhân.
- 50%: Đóng góp mang lại lợi ích cho cả team. Ví dụ: xây reusable component, tối ưu CI/CD của team, cải thiện coding guideline, mentoring hiệu quả.
- 75%: Đóng góp được nhiều team sử dụng hoặc tạo ảnh hưởng liên phòng ban. Ví dụ: xây internal library, framework dùng chung, xử lý production incident lớn, đào tạo nhiều team.
- 100%: Đóng góp tạo ảnh hưởng rõ rệt tới toàn bộ Engineering hoặc doanh nghiệp. Ví dụ: nền tảng mới giúp giảm đáng kể chi phí/vận hành, sáng kiến được triển khai toàn công ty, giải pháp tạo lợi thế cạnh tranh hoặc doanh thu.</t>
        </is>
      </c>
      <c r="G23" s="385" t="n"/>
      <c r="H23" s="386" t="n"/>
      <c r="I23" s="386" t="n"/>
      <c r="J23" s="386" t="inlineStr">
        <is>
          <t>x</t>
        </is>
      </c>
      <c r="K23" s="387" t="n">
        <v>0</v>
      </c>
      <c r="L23" s="387" t="n"/>
      <c r="M23" s="381" t="n"/>
      <c r="N23" s="381" t="inlineStr">
        <is>
          <t>x</t>
        </is>
      </c>
      <c r="O23" s="378" t="n">
        <v>0</v>
      </c>
      <c r="P23" s="319" t="n"/>
      <c r="Q23" s="319" t="n"/>
      <c r="R23" s="319" t="n"/>
      <c r="S23" s="319" t="n"/>
    </row>
    <row r="24" ht="30.75" customHeight="1">
      <c r="A24" s="343" t="n">
        <v>6.1</v>
      </c>
      <c r="B24" s="369" t="inlineStr">
        <is>
          <t>Innovation (tạo ra giá trị mới)</t>
        </is>
      </c>
      <c r="C24" s="370" t="n"/>
      <c r="D24" s="346" t="n"/>
      <c r="E24" s="375" t="inlineStr">
        <is>
          <t>Tạo ra giá trị mới cho công ty.
Ví dụ: Viết script giúp giảm 6 giờ release xuống còn 20 phút.</t>
        </is>
      </c>
      <c r="F24" s="389" t="n"/>
      <c r="G24" s="389" t="n"/>
      <c r="H24" s="349" t="n"/>
      <c r="I24" s="349" t="n"/>
      <c r="J24" s="349" t="n"/>
      <c r="K24" s="372" t="n"/>
      <c r="L24" s="349" t="n"/>
      <c r="M24" s="349" t="n"/>
      <c r="N24" s="351" t="n"/>
      <c r="O24" s="376" t="n"/>
      <c r="P24" s="319" t="n"/>
      <c r="Q24" s="319" t="n"/>
      <c r="R24" s="319" t="n"/>
      <c r="S24" s="319" t="n"/>
    </row>
    <row r="25" ht="76.5" customHeight="1">
      <c r="A25" s="343" t="n">
        <v>6.2</v>
      </c>
      <c r="B25" s="369" t="inlineStr">
        <is>
          <t>Exceptional Contribution</t>
        </is>
      </c>
      <c r="C25" s="370" t="n"/>
      <c r="D25" s="346" t="n"/>
      <c r="E25" s="375" t="inlineStr">
        <is>
          <t>Làm vượt kỳ vọng.
Ví dụ:
- hoàn thành dự án trước deadline lớn
- hỗ trợ nhiều team
- xử lý workload đột biến</t>
        </is>
      </c>
      <c r="F25" s="390" t="n"/>
      <c r="G25" s="390" t="n"/>
      <c r="H25" s="349" t="n"/>
      <c r="I25" s="349" t="n"/>
      <c r="J25" s="349" t="n"/>
      <c r="K25" s="372" t="n"/>
      <c r="L25" s="349" t="n"/>
      <c r="M25" s="349" t="n"/>
      <c r="N25" s="351" t="n"/>
      <c r="O25" s="376" t="n"/>
      <c r="P25" s="319" t="n"/>
      <c r="Q25" s="319" t="n"/>
      <c r="R25" s="319" t="n"/>
      <c r="S25" s="319" t="n"/>
    </row>
    <row r="26" ht="91.5" customHeight="1">
      <c r="A26" s="343" t="n">
        <v>6.3</v>
      </c>
      <c r="B26" s="369" t="inlineStr">
        <is>
          <t>Organization Impact</t>
        </is>
      </c>
      <c r="C26" s="370" t="n"/>
      <c r="D26" s="346" t="n"/>
      <c r="E26" s="375" t="inlineStr">
        <is>
          <t>Ảnh hưởng ở cấp tổ chức.
Ví dụ: 
- xây Coding Standard
- tạo Handbook
- đào tạo nội bộ (workshop)
- mentoring nhiều team</t>
        </is>
      </c>
      <c r="F26" s="390" t="n"/>
      <c r="G26" s="390" t="n"/>
      <c r="H26" s="349" t="n"/>
      <c r="I26" s="349" t="n"/>
      <c r="J26" s="349" t="n"/>
      <c r="K26" s="372" t="n"/>
      <c r="L26" s="349" t="n"/>
      <c r="M26" s="349" t="n"/>
      <c r="N26" s="351" t="n"/>
      <c r="O26" s="376" t="n"/>
      <c r="P26" s="319" t="n"/>
      <c r="Q26" s="319" t="n"/>
      <c r="R26" s="319" t="n"/>
      <c r="S26" s="319" t="n"/>
    </row>
    <row r="27" ht="15.75" customHeight="1">
      <c r="A27" s="343" t="n">
        <v>6.4</v>
      </c>
      <c r="B27" s="369" t="inlineStr">
        <is>
          <t>Emergency Response</t>
        </is>
      </c>
      <c r="C27" s="370" t="n"/>
      <c r="D27" s="346" t="n"/>
      <c r="E27" s="375" t="inlineStr">
        <is>
          <t>Xử lý tình huống khẩn cấp ảnh hưởng tới công ty / tổ chức</t>
        </is>
      </c>
      <c r="F27" s="29" t="n"/>
      <c r="G27" s="29" t="n"/>
      <c r="H27" s="349" t="n"/>
      <c r="I27" s="349" t="n"/>
      <c r="J27" s="349" t="n"/>
      <c r="K27" s="372" t="n"/>
      <c r="L27" s="349" t="n"/>
      <c r="M27" s="349" t="n"/>
      <c r="N27" s="351" t="n"/>
      <c r="O27" s="376" t="n"/>
      <c r="P27" s="319" t="n"/>
      <c r="Q27" s="319" t="n"/>
      <c r="R27" s="319" t="n"/>
      <c r="S27" s="319" t="n"/>
    </row>
    <row r="28" ht="30.75" customHeight="1">
      <c r="A28" s="391" t="inlineStr">
        <is>
          <t>B.</t>
        </is>
      </c>
      <c r="B28" s="392" t="inlineStr">
        <is>
          <t>TINH THẦN VÀ TRÁCH NHIỆM (TỶ TRỌNG: 15%)</t>
        </is>
      </c>
      <c r="C28" s="393" t="n"/>
      <c r="D28" s="394">
        <f>SUBTOTAL(9,D29:D31)</f>
        <v/>
      </c>
      <c r="E28" s="395" t="n"/>
      <c r="F28" s="395">
        <f> Trọng số * Điểm đạt * Tỷ trọng</f>
        <v/>
      </c>
      <c r="G28" s="396" t="n"/>
      <c r="H28" s="397" t="n"/>
      <c r="I28" s="397" t="n"/>
      <c r="J28" s="397" t="n"/>
      <c r="K28" s="398">
        <f>SUBTOTAL(9,K29:K31)</f>
        <v/>
      </c>
      <c r="L28" s="399" t="n"/>
      <c r="M28" s="400" t="n"/>
      <c r="N28" s="401" t="n"/>
      <c r="O28" s="402">
        <f>SUBTOTAL(9,O29:O31)</f>
        <v/>
      </c>
      <c r="P28" s="403" t="n"/>
      <c r="Q28" s="404" t="n"/>
      <c r="R28" s="405" t="n"/>
      <c r="S28" s="406" t="n"/>
      <c r="T28" s="406" t="n"/>
    </row>
    <row r="29" ht="15.75" customHeight="1">
      <c r="A29" s="407" t="n">
        <v>1</v>
      </c>
      <c r="B29" s="408" t="inlineStr">
        <is>
          <t>Chủ động trong công việc</t>
        </is>
      </c>
      <c r="C29" s="359" t="n">
        <v>10</v>
      </c>
      <c r="D29" s="409" t="n">
        <v>0.3</v>
      </c>
      <c r="E29" s="410" t="inlineStr">
        <is>
          <t>Theo bảng tiêu chí B, C</t>
        </is>
      </c>
      <c r="F29" s="411" t="n"/>
      <c r="G29" s="411" t="n"/>
      <c r="H29" s="412" t="n">
        <v>10</v>
      </c>
      <c r="I29" s="413">
        <f>H29/C29</f>
        <v/>
      </c>
      <c r="J29" s="414" t="inlineStr">
        <is>
          <t>x</t>
        </is>
      </c>
      <c r="K29" s="414">
        <f>$D29*$I29*15%</f>
        <v/>
      </c>
      <c r="L29" s="415" t="n">
        <v>9</v>
      </c>
      <c r="M29" s="416">
        <f>L29/C29</f>
        <v/>
      </c>
      <c r="N29" s="359" t="inlineStr">
        <is>
          <t>x</t>
        </is>
      </c>
      <c r="O29" s="417">
        <f>$D29*$M29*15%</f>
        <v/>
      </c>
      <c r="P29" s="403" t="n"/>
      <c r="Q29" s="418" t="n"/>
      <c r="R29" s="419" t="n"/>
      <c r="S29" s="419" t="n"/>
      <c r="T29" s="419" t="n"/>
    </row>
    <row r="30" ht="15.75" customHeight="1">
      <c r="A30" s="407" t="n">
        <v>2</v>
      </c>
      <c r="B30" s="408" t="inlineStr">
        <is>
          <t>Phối hợp trong công việc</t>
        </is>
      </c>
      <c r="C30" s="359" t="n">
        <v>10</v>
      </c>
      <c r="D30" s="409" t="n">
        <v>0.3</v>
      </c>
      <c r="F30" s="411" t="n"/>
      <c r="G30" s="411" t="n"/>
      <c r="H30" s="412" t="n">
        <v>10</v>
      </c>
      <c r="I30" s="413">
        <f>H30/C30</f>
        <v/>
      </c>
      <c r="J30" s="414" t="inlineStr">
        <is>
          <t>x</t>
        </is>
      </c>
      <c r="K30" s="414">
        <f>$D30*$I30*15%</f>
        <v/>
      </c>
      <c r="L30" s="389" t="n">
        <v>8</v>
      </c>
      <c r="M30" s="416">
        <f>L30/C30</f>
        <v/>
      </c>
      <c r="N30" s="359" t="inlineStr">
        <is>
          <t>x</t>
        </is>
      </c>
      <c r="O30" s="417">
        <f>$D30*$M30*15%</f>
        <v/>
      </c>
      <c r="P30" s="403" t="n"/>
      <c r="Q30" s="418" t="n"/>
      <c r="R30" s="419" t="n"/>
      <c r="S30" s="419" t="n"/>
      <c r="T30" s="419" t="n"/>
    </row>
    <row r="31" ht="45.75" customHeight="1">
      <c r="A31" s="407" t="n">
        <v>3</v>
      </c>
      <c r="B31" s="408" t="inlineStr">
        <is>
          <t>Tuân thủ kỷ luật trong công việc, chấp hành yêu cầu cấp trên và các quy định nội quy của Công ty</t>
        </is>
      </c>
      <c r="C31" s="359" t="n">
        <v>10</v>
      </c>
      <c r="D31" s="409" t="n">
        <v>0.4</v>
      </c>
      <c r="E31" s="420" t="n"/>
      <c r="F31" s="411" t="n"/>
      <c r="G31" s="411" t="n"/>
      <c r="H31" s="412" t="n">
        <v>10</v>
      </c>
      <c r="I31" s="413">
        <f>H31/C31</f>
        <v/>
      </c>
      <c r="J31" s="414" t="inlineStr">
        <is>
          <t>x</t>
        </is>
      </c>
      <c r="K31" s="414">
        <f>$D31*$I31*15%</f>
        <v/>
      </c>
      <c r="L31" s="389" t="n">
        <v>10</v>
      </c>
      <c r="M31" s="416">
        <f>L31/C31</f>
        <v/>
      </c>
      <c r="N31" s="359" t="inlineStr">
        <is>
          <t>x</t>
        </is>
      </c>
      <c r="O31" s="417">
        <f>$D31*$M31*15%</f>
        <v/>
      </c>
      <c r="P31" s="403" t="n"/>
      <c r="Q31" s="418" t="n"/>
      <c r="R31" s="419" t="n"/>
      <c r="S31" s="419" t="n"/>
      <c r="T31" s="419" t="n"/>
    </row>
    <row r="32" ht="30.75" customHeight="1">
      <c r="A32" s="391" t="inlineStr">
        <is>
          <t>C.</t>
        </is>
      </c>
      <c r="B32" s="327" t="inlineStr">
        <is>
          <t>KỶ LUẬT LAO ĐỘNG (TỶ TRỌNG: 5%)</t>
        </is>
      </c>
      <c r="C32" s="421" t="n"/>
      <c r="D32" s="422">
        <f>SUBTOTAL(9,D33:D36)</f>
        <v/>
      </c>
      <c r="E32" s="423" t="n"/>
      <c r="F32" s="395">
        <f> Trọng số * Điểm đạt * Tỷ trọng</f>
        <v/>
      </c>
      <c r="G32" s="424" t="n"/>
      <c r="H32" s="425" t="n"/>
      <c r="I32" s="425" t="n"/>
      <c r="J32" s="425" t="n"/>
      <c r="K32" s="426">
        <f>SUBTOTAL(9,K33:K36)</f>
        <v/>
      </c>
      <c r="L32" s="427" t="n"/>
      <c r="M32" s="428" t="n"/>
      <c r="N32" s="427" t="n"/>
      <c r="O32" s="429">
        <f>SUBTOTAL(9,O33:O36)</f>
        <v/>
      </c>
      <c r="P32" s="403" t="n"/>
      <c r="Q32" s="404" t="n"/>
      <c r="R32" s="405" t="n"/>
      <c r="S32" s="405" t="n"/>
      <c r="T32" s="405" t="n"/>
    </row>
    <row r="33" ht="15.75" customHeight="1">
      <c r="A33" s="407" t="n">
        <v>1</v>
      </c>
      <c r="B33" s="408" t="inlineStr">
        <is>
          <t>Đi muộn, về sớm</t>
        </is>
      </c>
      <c r="C33" s="359" t="n">
        <v>10</v>
      </c>
      <c r="D33" s="409" t="n">
        <v>0.3</v>
      </c>
      <c r="E33" s="430" t="inlineStr">
        <is>
          <t>Theo bảng tiêu chí B, C</t>
        </is>
      </c>
      <c r="F33" s="411" t="n"/>
      <c r="G33" s="411" t="n"/>
      <c r="H33" s="412" t="n">
        <v>10</v>
      </c>
      <c r="I33" s="413">
        <f>H33/C33</f>
        <v/>
      </c>
      <c r="J33" s="414" t="inlineStr">
        <is>
          <t>x</t>
        </is>
      </c>
      <c r="K33" s="431">
        <f>$D33*$I33*5%</f>
        <v/>
      </c>
      <c r="L33" s="359" t="n">
        <v>7</v>
      </c>
      <c r="M33" s="432">
        <f>L33/C33</f>
        <v/>
      </c>
      <c r="N33" s="359" t="inlineStr">
        <is>
          <t>x</t>
        </is>
      </c>
      <c r="O33" s="433">
        <f>$D33*$M33*5%</f>
        <v/>
      </c>
      <c r="P33" s="403" t="n"/>
      <c r="Q33" s="418" t="n"/>
      <c r="R33" s="419" t="n"/>
      <c r="S33" s="419" t="n"/>
      <c r="T33" s="419" t="n"/>
    </row>
    <row r="34" ht="15.75" customHeight="1">
      <c r="A34" s="407" t="n">
        <v>2</v>
      </c>
      <c r="B34" s="408" t="inlineStr">
        <is>
          <t>Nghỉ không phép</t>
        </is>
      </c>
      <c r="C34" s="359" t="n">
        <v>10</v>
      </c>
      <c r="D34" s="409" t="n">
        <v>0.3</v>
      </c>
      <c r="F34" s="411" t="n"/>
      <c r="G34" s="411" t="n"/>
      <c r="H34" s="412" t="n">
        <v>10</v>
      </c>
      <c r="I34" s="413">
        <f>H34/C34</f>
        <v/>
      </c>
      <c r="J34" s="414" t="inlineStr">
        <is>
          <t>x</t>
        </is>
      </c>
      <c r="K34" s="431">
        <f>$D34*$I34*5%</f>
        <v/>
      </c>
      <c r="L34" s="359" t="n">
        <v>7</v>
      </c>
      <c r="M34" s="432">
        <f>L34/C34</f>
        <v/>
      </c>
      <c r="N34" s="359" t="inlineStr">
        <is>
          <t>x</t>
        </is>
      </c>
      <c r="O34" s="433">
        <f>$D34*$M34*5%</f>
        <v/>
      </c>
      <c r="P34" s="403" t="n"/>
      <c r="Q34" s="418" t="n"/>
      <c r="R34" s="419" t="n"/>
      <c r="S34" s="419" t="n"/>
      <c r="T34" s="419" t="n"/>
    </row>
    <row r="35" ht="30.75" customHeight="1">
      <c r="A35" s="407" t="n">
        <v>3</v>
      </c>
      <c r="B35" s="408" t="inlineStr">
        <is>
          <t>Quên không chấm công (check in và check out)</t>
        </is>
      </c>
      <c r="C35" s="359" t="n">
        <v>10</v>
      </c>
      <c r="D35" s="409" t="n">
        <v>0.3</v>
      </c>
      <c r="F35" s="411" t="n"/>
      <c r="G35" s="411" t="n"/>
      <c r="H35" s="412" t="n">
        <v>10</v>
      </c>
      <c r="I35" s="413">
        <f>H35/C35</f>
        <v/>
      </c>
      <c r="J35" s="414" t="inlineStr">
        <is>
          <t>x</t>
        </is>
      </c>
      <c r="K35" s="431">
        <f>$D35*$I35*5%</f>
        <v/>
      </c>
      <c r="L35" s="359" t="n">
        <v>6</v>
      </c>
      <c r="M35" s="432">
        <f>L35/C35</f>
        <v/>
      </c>
      <c r="N35" s="359" t="inlineStr">
        <is>
          <t>x</t>
        </is>
      </c>
      <c r="O35" s="433">
        <f>$D35*$M35*5%</f>
        <v/>
      </c>
      <c r="P35" s="403" t="n"/>
      <c r="Q35" s="418" t="n"/>
      <c r="R35" s="419" t="n"/>
      <c r="S35" s="419" t="n"/>
      <c r="T35" s="419" t="n"/>
    </row>
    <row r="36" ht="15.75" customHeight="1">
      <c r="A36" s="434" t="n">
        <v>4</v>
      </c>
      <c r="B36" s="435" t="inlineStr">
        <is>
          <t>Xanh-Sạch-Đẹp</t>
        </is>
      </c>
      <c r="C36" s="359" t="n">
        <v>10</v>
      </c>
      <c r="D36" s="409" t="n">
        <v>0.1</v>
      </c>
      <c r="E36" s="62" t="n"/>
      <c r="F36" s="411" t="n"/>
      <c r="G36" s="411" t="n"/>
      <c r="H36" s="412" t="n">
        <v>10</v>
      </c>
      <c r="I36" s="413">
        <f>H36/C36</f>
        <v/>
      </c>
      <c r="J36" s="414" t="inlineStr">
        <is>
          <t>x</t>
        </is>
      </c>
      <c r="K36" s="431">
        <f>$D36*$I36*5%</f>
        <v/>
      </c>
      <c r="L36" s="359" t="n">
        <v>6</v>
      </c>
      <c r="M36" s="432">
        <f>L36/C36</f>
        <v/>
      </c>
      <c r="N36" s="359" t="inlineStr">
        <is>
          <t>x</t>
        </is>
      </c>
      <c r="O36" s="433">
        <f>$D36*$M36*5%</f>
        <v/>
      </c>
      <c r="P36" s="403" t="n"/>
      <c r="Q36" s="418" t="n"/>
      <c r="R36" s="419" t="n"/>
      <c r="S36" s="419" t="n"/>
      <c r="T36" s="419" t="n"/>
    </row>
    <row r="37" ht="15.75" customHeight="1">
      <c r="A37" s="436" t="inlineStr">
        <is>
          <t>TỔNG</t>
        </is>
      </c>
      <c r="B37" s="127" t="n"/>
      <c r="C37" s="27" t="n"/>
      <c r="D37" s="437" t="n"/>
      <c r="E37" s="438" t="n"/>
      <c r="F37" s="437" t="n"/>
      <c r="G37" s="437" t="n"/>
      <c r="H37" s="437" t="n"/>
      <c r="I37" s="437" t="n"/>
      <c r="J37" s="437" t="n"/>
      <c r="K37" s="439">
        <f>SUM(K32,K28,K3)</f>
        <v/>
      </c>
      <c r="L37" s="439" t="n"/>
      <c r="M37" s="440" t="n"/>
      <c r="N37" s="440" t="n"/>
      <c r="O37" s="439">
        <f>SUM(O32,O28,O3)</f>
        <v/>
      </c>
      <c r="P37" s="403" t="n"/>
      <c r="Q37" s="441" t="n"/>
      <c r="R37" s="442" t="n"/>
      <c r="S37" s="442" t="n"/>
      <c r="T37" s="443" t="n"/>
    </row>
    <row r="38" ht="15.75" customHeight="1">
      <c r="A38" s="444" t="inlineStr">
        <is>
          <t>TỔNG CỘNG= ((Nhân viên đánh giá *1)+(CBQL đánh giá *2))/3</t>
        </is>
      </c>
      <c r="B38" s="445" t="n"/>
      <c r="C38" s="446" t="n"/>
      <c r="D38" s="446" t="n"/>
      <c r="E38" s="446" t="n"/>
      <c r="F38" s="446" t="n"/>
      <c r="G38" s="446" t="n"/>
      <c r="H38" s="447">
        <f>(K37 + O37*2)/3</f>
        <v/>
      </c>
      <c r="I38" s="127" t="n"/>
      <c r="J38" s="127" t="n"/>
      <c r="K38" s="127" t="n"/>
      <c r="L38" s="127" t="n"/>
      <c r="M38" s="127" t="n"/>
      <c r="N38" s="127" t="n"/>
      <c r="O38" s="27" t="n"/>
      <c r="P38" s="448" t="n"/>
      <c r="Q38" s="448" t="n"/>
      <c r="R38" s="448" t="n"/>
      <c r="S38" s="448" t="n"/>
      <c r="T38" s="449" t="n"/>
    </row>
  </sheetData>
  <mergeCells count="13">
    <mergeCell ref="A37:C37"/>
    <mergeCell ref="H38:O38"/>
    <mergeCell ref="C1:C2"/>
    <mergeCell ref="F24:F27"/>
    <mergeCell ref="E29:E31"/>
    <mergeCell ref="G1:G2"/>
    <mergeCell ref="D1:D2"/>
    <mergeCell ref="F1:F2"/>
    <mergeCell ref="H1:K1"/>
    <mergeCell ref="L1:O1"/>
    <mergeCell ref="E33:E36"/>
    <mergeCell ref="G24:G27"/>
    <mergeCell ref="A1:A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33"/>
  <sheetViews>
    <sheetView workbookViewId="0">
      <pane xSplit="4" ySplit="17" topLeftCell="E18" activePane="bottomRight" state="frozen"/>
      <selection pane="topRight" activeCell="A1" sqref="A1"/>
      <selection pane="bottomLeft" activeCell="A1" sqref="A1"/>
      <selection pane="bottomRight" activeCell="A1" sqref="A1"/>
    </sheetView>
  </sheetViews>
  <sheetFormatPr baseColWidth="8" defaultColWidth="9.140625" defaultRowHeight="15"/>
  <cols>
    <col width="9.140625" customWidth="1" min="1" max="1"/>
    <col width="37.28515625" customWidth="1" min="2" max="2"/>
    <col width="19.140625" customWidth="1" min="3" max="3"/>
    <col width="17.7109375" customWidth="1" min="4" max="4"/>
    <col width="67.7109375" customWidth="1" min="5" max="5"/>
    <col width="46.7109375" customWidth="1" min="6" max="6"/>
    <col width="36.140625" customWidth="1" min="7" max="7"/>
    <col width="16" customWidth="1" min="8" max="8"/>
    <col width="18.7109375" customWidth="1" min="10" max="10"/>
    <col width="27.42578125" customWidth="1" min="11" max="11"/>
    <col width="18.28515625" customWidth="1" min="12" max="12"/>
    <col width="18.42578125" customWidth="1" min="13" max="13"/>
    <col width="17.7109375" customWidth="1" min="14" max="14"/>
    <col width="35.42578125" customWidth="1" min="15" max="15"/>
  </cols>
  <sheetData>
    <row r="1" ht="30.75" customHeight="1">
      <c r="A1" s="315" t="inlineStr">
        <is>
          <t>STT</t>
        </is>
      </c>
      <c r="B1" s="315" t="inlineStr">
        <is>
          <t>CHỈ TIÊU</t>
        </is>
      </c>
      <c r="C1" s="315" t="inlineStr">
        <is>
          <t>Kế hoạch (Điểm)</t>
        </is>
      </c>
      <c r="D1" s="315" t="inlineStr">
        <is>
          <t>Trọng số</t>
        </is>
      </c>
      <c r="E1" s="316" t="inlineStr">
        <is>
          <t>MÔ TẢ THƯỚC ĐO CHỈ TIÊU</t>
        </is>
      </c>
      <c r="F1" s="317" t="inlineStr">
        <is>
          <t>Công thức Tính</t>
        </is>
      </c>
      <c r="G1" s="317" t="inlineStr">
        <is>
          <t>Công thức Tính (Thang điểm 10)</t>
        </is>
      </c>
      <c r="H1" s="318" t="inlineStr">
        <is>
          <t>NHÂN VIÊN ĐÁNH GIÁ</t>
        </is>
      </c>
      <c r="I1" s="127" t="n"/>
      <c r="J1" s="127" t="n"/>
      <c r="K1" s="27" t="n"/>
      <c r="L1" s="318" t="inlineStr">
        <is>
          <t>CBQL ĐÁNH GIÁ</t>
        </is>
      </c>
      <c r="M1" s="127" t="n"/>
      <c r="N1" s="127" t="n"/>
      <c r="O1" s="27" t="n"/>
      <c r="P1" s="319" t="n"/>
      <c r="Q1" s="319" t="n"/>
      <c r="R1" s="319" t="n"/>
      <c r="S1" s="319" t="n"/>
    </row>
    <row r="2" ht="61.5" customHeight="1">
      <c r="A2" s="320" t="n"/>
      <c r="B2" s="315" t="inlineStr">
        <is>
          <t>Hạng mục</t>
        </is>
      </c>
      <c r="C2" s="320" t="n"/>
      <c r="D2" s="320" t="n"/>
      <c r="E2" s="321" t="n"/>
      <c r="F2" s="322" t="n"/>
      <c r="G2" s="322" t="n"/>
      <c r="H2" s="323" t="inlineStr">
        <is>
          <t>Thực đạt (Tiêu chí B,C)</t>
        </is>
      </c>
      <c r="I2" s="323" t="inlineStr">
        <is>
          <t>Điểm đạt = Thực đạt/Kế hoạch (Tiêu chí B,C)</t>
        </is>
      </c>
      <c r="J2" s="323" t="inlineStr">
        <is>
          <t>Tỷ lệ hoàn thành (Tiêu chí A)</t>
        </is>
      </c>
      <c r="K2" s="324" t="inlineStr">
        <is>
          <t>Điểm KPIs (Tính theo công thức của tùng loại tiêu chí)</t>
        </is>
      </c>
      <c r="L2" s="325" t="inlineStr">
        <is>
          <t>Thực đạt (Tiêu chí B,C)</t>
        </is>
      </c>
      <c r="M2" s="325" t="inlineStr">
        <is>
          <t>Điểm đạt = Thực đạt/Kế hoạch (Tiêu chí B,C)</t>
        </is>
      </c>
      <c r="N2" s="325" t="inlineStr">
        <is>
          <t>Tỷ lệ hoàn thành (Tiêu chí A)</t>
        </is>
      </c>
      <c r="O2" s="318" t="inlineStr">
        <is>
          <t>Điểm KPIs (Tính theo công thức của tùng loại tiêu chí)</t>
        </is>
      </c>
      <c r="P2" s="319" t="n"/>
      <c r="Q2" s="319" t="n"/>
      <c r="R2" s="319" t="n"/>
      <c r="S2" s="319" t="n"/>
    </row>
    <row r="3" ht="45.75" customHeight="1">
      <c r="A3" s="326" t="inlineStr">
        <is>
          <t xml:space="preserve">A. </t>
        </is>
      </c>
      <c r="B3" s="327" t="inlineStr">
        <is>
          <t>HIỆU QUẢ CÔNG VIỆC (TỶ TRỌNG: Max = 100%)</t>
        </is>
      </c>
      <c r="C3" s="328" t="n"/>
      <c r="D3" s="328" t="n"/>
      <c r="E3" s="328" t="n"/>
      <c r="F3" s="329" t="inlineStr">
        <is>
          <t xml:space="preserve"> = 35% * Delivery + 20% * Quality + 10% * Reliability + 10% * Collaboration + 5% * Growth + 20% * Impact Bonus</t>
        </is>
      </c>
      <c r="G3" s="328" t="n"/>
      <c r="H3" s="330" t="n"/>
      <c r="I3" s="330" t="n"/>
      <c r="J3" s="330" t="n"/>
      <c r="K3" s="331">
        <f>(0.35*K4+0.2*K9+0.1*K15+0.1*K16+0.05*K17+0.2*K18)/10</f>
        <v/>
      </c>
      <c r="L3" s="331" t="n"/>
      <c r="M3" s="330" t="n"/>
      <c r="N3" s="330" t="n"/>
      <c r="O3" s="331">
        <f>(0.35*O4+0.2*O9+0.1*O15+0.1*O16+0.05*O17+0.2*O18)/10</f>
        <v/>
      </c>
      <c r="P3" s="319" t="n"/>
      <c r="Q3" s="319" t="n"/>
      <c r="R3" s="319" t="n"/>
      <c r="S3" s="319" t="n"/>
    </row>
    <row r="4" ht="61.5" customHeight="1">
      <c r="A4" s="332" t="n">
        <v>1</v>
      </c>
      <c r="B4" s="333" t="inlineStr">
        <is>
          <t>Delivery KPI</t>
        </is>
      </c>
      <c r="C4" s="334" t="n"/>
      <c r="D4" s="335" t="n"/>
      <c r="E4" s="336" t="inlineStr">
        <is>
          <t xml:space="preserve">Tiêu chí: Delivery phản ánh khả năng chuyển giao công việc đã cam kết thành kết quả có giá trị.
</t>
        </is>
      </c>
      <c r="F4" s="337" t="inlineStr">
        <is>
          <t xml:space="preserve"> = 40% × Commitment Achievement + 25% × Schedule Performance + 20% × Work Throughput + 15% × Delivery Ownership</t>
        </is>
      </c>
      <c r="G4" s="338" t="n"/>
      <c r="H4" s="339" t="n"/>
      <c r="I4" s="339" t="n"/>
      <c r="J4" s="339" t="n"/>
      <c r="K4" s="340">
        <f>0.4*K5+0.25*K6+0.2*K7+0.15*K8</f>
        <v/>
      </c>
      <c r="L4" s="341" t="n"/>
      <c r="M4" s="342" t="n"/>
      <c r="N4" s="342" t="n"/>
      <c r="O4" s="342">
        <f>0.4*O5+0.25*O6+0.2*O7+0.15*O8</f>
        <v/>
      </c>
      <c r="P4" s="319" t="n"/>
      <c r="Q4" s="319" t="n"/>
      <c r="R4" s="319" t="n"/>
      <c r="S4" s="319" t="n"/>
    </row>
    <row r="5" ht="137.25" customHeight="1">
      <c r="A5" s="343" t="n">
        <v>1.1</v>
      </c>
      <c r="B5" s="344" t="inlineStr">
        <is>
          <t>Commitment Achievement</t>
        </is>
      </c>
      <c r="C5" s="345" t="n"/>
      <c r="D5" s="346" t="n"/>
      <c r="E5" s="347" t="inlineStr">
        <is>
          <t>- Tiêu chí: Hoàn thành công việc đã cam kết
- Đánh giá khả năng hoàn thành các Jira Task/Ticket đã cam kết.
Không tính:
- Ticket bị hủy
- Scope thay đổi do PO/BA
- Công việc chưa đủ điều kiện triển khai
- Blocker ngoài khả năng kiểm soát</t>
        </is>
      </c>
      <c r="F5" s="348" t="inlineStr">
        <is>
          <t xml:space="preserve">Công thức: Tỷ lệ hoàn thành -- Điểm
≥100%     --	100
95–99%   --	95
90–94%	 -- 90
80–89%	 -- 80
&lt;80%	 -- 60
</t>
        </is>
      </c>
      <c r="G5" s="348" t="inlineStr">
        <is>
          <t>Công thức: Tỷ lệ hoàn thành -- Điểm
≥100%     --	10
95–99%   --	9.5
90–94%	 -- 9.0
80–89%	 -- 8.0
&lt;80%	 -- 6.0</t>
        </is>
      </c>
      <c r="H5" s="349" t="inlineStr">
        <is>
          <t>x</t>
        </is>
      </c>
      <c r="I5" s="350" t="inlineStr">
        <is>
          <t>x</t>
        </is>
      </c>
      <c r="J5" s="349" t="n">
        <v>1</v>
      </c>
      <c r="K5" s="351" t="n">
        <v>10</v>
      </c>
      <c r="L5" s="349" t="inlineStr">
        <is>
          <t>x</t>
        </is>
      </c>
      <c r="M5" s="349" t="inlineStr">
        <is>
          <t>x</t>
        </is>
      </c>
      <c r="N5" s="349" t="n">
        <v>0.95</v>
      </c>
      <c r="O5" s="351" t="n">
        <v>9.5</v>
      </c>
      <c r="P5" s="319" t="n"/>
      <c r="Q5" s="319" t="n"/>
      <c r="R5" s="319" t="n"/>
      <c r="S5" s="319" t="n"/>
    </row>
    <row r="6" ht="121.5" customHeight="1">
      <c r="A6" s="343" t="n">
        <v>1.2</v>
      </c>
      <c r="B6" s="344" t="inlineStr">
        <is>
          <t>Schedule Performance</t>
        </is>
      </c>
      <c r="C6" s="345" t="n"/>
      <c r="D6" s="346" t="n"/>
      <c r="E6" s="352" t="inlineStr">
        <is>
          <t>-Tiêu chí: Hoàn thành đúng thời hạn
- Đánh giá mức độ hoàn thành đúng thời hạn.
Không tính:
- Delay do Requirement thay đổi
- Delay do hạ tầng
- Delay do phụ thuộc team khác</t>
        </is>
      </c>
      <c r="F6" s="348" t="inlineStr">
        <is>
          <t xml:space="preserve">Công thức: On-time Rate	Điểm
≥95%	100
90–94%	95
80–89%	85
70–79%	75
&lt;70%	60
</t>
        </is>
      </c>
      <c r="G6" s="348" t="inlineStr">
        <is>
          <t>On-time Rate --- Điểm
≥95%	--  10
90–94%	 -- 9.5
80–89%	 --  8.5
70–79%	 --  7.5
&lt;70%	 --   6.0</t>
        </is>
      </c>
      <c r="H6" s="349" t="inlineStr">
        <is>
          <t>x</t>
        </is>
      </c>
      <c r="I6" s="349" t="inlineStr">
        <is>
          <t>x</t>
        </is>
      </c>
      <c r="J6" s="349" t="n">
        <v>1</v>
      </c>
      <c r="K6" s="351" t="n">
        <v>10</v>
      </c>
      <c r="L6" s="349" t="inlineStr">
        <is>
          <t>x</t>
        </is>
      </c>
      <c r="M6" s="349" t="inlineStr">
        <is>
          <t>x</t>
        </is>
      </c>
      <c r="N6" s="349" t="n">
        <v>0.89</v>
      </c>
      <c r="O6" s="351" t="n">
        <v>8.5</v>
      </c>
      <c r="P6" s="319" t="n"/>
      <c r="Q6" s="319" t="n"/>
      <c r="R6" s="319" t="n"/>
      <c r="S6" s="319" t="n"/>
    </row>
    <row r="7" ht="91.5" customHeight="1">
      <c r="A7" s="343" t="n">
        <v>1.3</v>
      </c>
      <c r="B7" s="344" t="inlineStr">
        <is>
          <t>Work Throughput</t>
        </is>
      </c>
      <c r="C7" s="345" t="n"/>
      <c r="D7" s="346" t="n"/>
      <c r="E7" s="352" t="inlineStr">
        <is>
          <t xml:space="preserve">Tiêu chí: Khối lượng công việc hoàn thành theo Scope Score.
Đánh giá công việc hoàn thành dựa trên level/ cấp bậc nhân sự
Notes: 
- Không sử dụng số lượng Task hoặc Ticket.
- Đề xuất sử dụng Scope Score.
</t>
        </is>
      </c>
      <c r="F7" s="353" t="inlineStr">
        <is>
          <t>Công thức: Throughput	Điểm
≥95%	100
90–94%	95
80–89%	85
&lt;80%	70</t>
        </is>
      </c>
      <c r="G7" s="353" t="inlineStr">
        <is>
          <t>Throughput ---  Điểm
≥95%	   10
90–94%	    9.5
80–89%	    8.5
&lt;80%	    7.0</t>
        </is>
      </c>
      <c r="H7" s="349" t="inlineStr">
        <is>
          <t>x</t>
        </is>
      </c>
      <c r="I7" s="349" t="inlineStr">
        <is>
          <t>x</t>
        </is>
      </c>
      <c r="J7" s="354" t="n">
        <v>1</v>
      </c>
      <c r="K7" s="355" t="n">
        <v>10</v>
      </c>
      <c r="L7" s="349" t="inlineStr">
        <is>
          <t>x</t>
        </is>
      </c>
      <c r="M7" s="349" t="inlineStr">
        <is>
          <t>x</t>
        </is>
      </c>
      <c r="N7" s="349" t="n">
        <v>0.8</v>
      </c>
      <c r="O7" s="351" t="n">
        <v>8.5</v>
      </c>
      <c r="P7" s="319" t="n"/>
      <c r="Q7" s="319" t="n"/>
      <c r="R7" s="319" t="n"/>
      <c r="S7" s="319" t="n"/>
    </row>
    <row r="8" ht="167.25" customHeight="1">
      <c r="A8" s="343" t="n">
        <v>1.4</v>
      </c>
      <c r="B8" s="344" t="inlineStr">
        <is>
          <t>Delivery Ownership</t>
        </is>
      </c>
      <c r="C8" s="345" t="n"/>
      <c r="D8" s="346" t="n"/>
      <c r="E8" s="356" t="inlineStr">
        <is>
          <t xml:space="preserve">Tiêu chí: Chủ động xử lý và đảm bảo tiến độ
Đánh giá mức độ chủ động trong quá trình thực hiện.
</t>
        </is>
      </c>
      <c r="F8" s="357" t="inlineStr">
        <is>
          <t>Công thức: Manager đánh giá theo Rubric.
Mức	   -    Tiêu chí
5	Luôn chủ động xử lý blocker, cảnh báo rủi ro sớm, đề xuất phương án khả thi
4	Chủ động trong hầu hết tình huống
3	Hoàn thành công việc được giao, biết báo cáo khi gặp khó khăn
2	Thường xuyên cần nhắc nhở
1	Bị động, ảnh hưởng đến tiến độ chung</t>
        </is>
      </c>
      <c r="G8" s="357" t="inlineStr">
        <is>
          <t>Mức	   -    Tiêu chí
10 --	Luôn chủ động xử lý blocker, cảnh báo rủi ro sớm, đề xuất phương án khả thi
9--	Chủ động trong hầu hết tình huống
7.5--	Hoàn thành công việc được giao, biết báo cáo khi gặp khó khăn
5--	Thường xuyên cần nhắc nhở
2--	Bị động, ảnh hưởng đến tiến độ chung</t>
        </is>
      </c>
      <c r="H8" s="349" t="inlineStr">
        <is>
          <t>x</t>
        </is>
      </c>
      <c r="I8" s="358" t="inlineStr">
        <is>
          <t>x</t>
        </is>
      </c>
      <c r="J8" s="359" t="inlineStr">
        <is>
          <t>x</t>
        </is>
      </c>
      <c r="K8" s="360" t="n">
        <v>10</v>
      </c>
      <c r="L8" s="349" t="inlineStr">
        <is>
          <t>x</t>
        </is>
      </c>
      <c r="M8" s="349" t="inlineStr">
        <is>
          <t>x</t>
        </is>
      </c>
      <c r="N8" s="350" t="inlineStr">
        <is>
          <t>x</t>
        </is>
      </c>
      <c r="O8" s="351" t="n">
        <v>7.5</v>
      </c>
      <c r="P8" s="319" t="n"/>
      <c r="Q8" s="319" t="n"/>
      <c r="R8" s="319" t="n"/>
      <c r="S8" s="319" t="n"/>
    </row>
    <row r="9" ht="61.5" customHeight="1">
      <c r="A9" s="332" t="n">
        <v>2</v>
      </c>
      <c r="B9" s="361" t="inlineStr">
        <is>
          <t>Quality KPI</t>
        </is>
      </c>
      <c r="C9" s="362" t="n"/>
      <c r="D9" s="335" t="n"/>
      <c r="E9" s="363" t="inlineStr">
        <is>
          <t xml:space="preserve">Tiêu chí: Quality phản ánh khả năng tạo ra phần mềm đáp ứng yêu cầu chất lượng trong toàn bộ SDLC, không chỉ là số lượng bug sau khi release.
</t>
        </is>
      </c>
      <c r="F9" s="364" t="inlineStr">
        <is>
          <t>Công thức: Quality Score = 25% × Code Quality + 20% × Testing Quality + 15% × Build &amp; Release Quality + 25% × Production Quality + 15% × Quality Process Compliance</t>
        </is>
      </c>
      <c r="G9" s="365" t="n"/>
      <c r="H9" s="339" t="n"/>
      <c r="I9" s="339" t="n"/>
      <c r="J9" s="366" t="n"/>
      <c r="K9" s="367">
        <f>0.25*K10+0.2*K11+0.15*K12+0.25*K13+0.15*K14</f>
        <v/>
      </c>
      <c r="L9" s="368" t="n"/>
      <c r="M9" s="342" t="n"/>
      <c r="N9" s="342" t="n"/>
      <c r="O9" s="342">
        <f>0.25*O10+0.2*O11+0.15*O12+0.25*O13+0.15*O14</f>
        <v/>
      </c>
      <c r="P9" s="319" t="n"/>
      <c r="Q9" s="319" t="n"/>
      <c r="R9" s="319" t="n"/>
      <c r="S9" s="319" t="n"/>
    </row>
    <row r="10" ht="107.25" customHeight="1">
      <c r="A10" s="343" t="n">
        <v>2.1</v>
      </c>
      <c r="B10" s="369" t="inlineStr">
        <is>
          <t>Code Quality</t>
        </is>
      </c>
      <c r="C10" s="370" t="n"/>
      <c r="D10" s="346" t="n"/>
      <c r="E10" s="371" t="inlineStr">
        <is>
          <t>Đánh giá chất lượng mã nguồn trước khi merge.</t>
        </is>
      </c>
      <c r="F10" s="353" t="inlineStr">
        <is>
          <t xml:space="preserve">Điểm    ---    Đánh giá
95–100	Xuất sắc
90–94	Tốt
80–89	Đạt
70–79	Cần cải thiện
&lt;70	Không đạt
</t>
        </is>
      </c>
      <c r="G10" s="348" t="inlineStr">
        <is>
          <t xml:space="preserve">Điểm    ---    Đánh giá
9.5–10	Xuất sắc
8.5–9.0	Tốt
7.0–8.0	Đạt
5.0–6.5	Cần cải thiện
&lt;4.5	Không đạt
</t>
        </is>
      </c>
      <c r="H10" s="349" t="inlineStr">
        <is>
          <t>x</t>
        </is>
      </c>
      <c r="I10" s="349" t="inlineStr">
        <is>
          <t>x</t>
        </is>
      </c>
      <c r="J10" s="349" t="inlineStr">
        <is>
          <t>x</t>
        </is>
      </c>
      <c r="K10" s="372" t="n">
        <v>10</v>
      </c>
      <c r="L10" s="349" t="inlineStr">
        <is>
          <t>x</t>
        </is>
      </c>
      <c r="M10" s="349" t="inlineStr">
        <is>
          <t>x</t>
        </is>
      </c>
      <c r="N10" s="351" t="inlineStr">
        <is>
          <t>x</t>
        </is>
      </c>
      <c r="O10" s="372" t="n">
        <v>8.5</v>
      </c>
      <c r="P10" s="319" t="n"/>
      <c r="Q10" s="319" t="n"/>
      <c r="R10" s="319" t="n"/>
      <c r="S10" s="319" t="n"/>
    </row>
    <row r="11" ht="107.25" customHeight="1">
      <c r="A11" s="343" t="n">
        <v>2.2</v>
      </c>
      <c r="B11" s="369" t="inlineStr">
        <is>
          <t>Testing Quality</t>
        </is>
      </c>
      <c r="C11" s="370" t="n"/>
      <c r="D11" s="346" t="n"/>
      <c r="E11" s="373" t="inlineStr">
        <is>
          <t>Đánh giá chất lượng kiểm thử (self test)
Tham số đầu vào:
- Unit Test Coverage
- Integration Test
- Regression Test
- Test Pass Rate
- Flaky Test</t>
        </is>
      </c>
      <c r="F11" s="374" t="n"/>
      <c r="G11" s="374" t="n"/>
      <c r="H11" s="349" t="inlineStr">
        <is>
          <t>x</t>
        </is>
      </c>
      <c r="I11" s="349" t="inlineStr">
        <is>
          <t>x</t>
        </is>
      </c>
      <c r="J11" s="349" t="inlineStr">
        <is>
          <t>x</t>
        </is>
      </c>
      <c r="K11" s="372" t="n">
        <v>10</v>
      </c>
      <c r="L11" s="349" t="inlineStr">
        <is>
          <t>x</t>
        </is>
      </c>
      <c r="M11" s="349" t="inlineStr">
        <is>
          <t>x</t>
        </is>
      </c>
      <c r="N11" s="351" t="inlineStr">
        <is>
          <t>x</t>
        </is>
      </c>
      <c r="O11" s="372" t="n">
        <v>9</v>
      </c>
      <c r="P11" s="319" t="n"/>
      <c r="Q11" s="319" t="n"/>
      <c r="R11" s="319" t="n"/>
      <c r="S11" s="319" t="n"/>
    </row>
    <row r="12" ht="91.5" customHeight="1">
      <c r="A12" s="343" t="n">
        <v>2.3</v>
      </c>
      <c r="B12" s="369" t="inlineStr">
        <is>
          <t xml:space="preserve">Build &amp; Release Quality </t>
        </is>
      </c>
      <c r="C12" s="370" t="n"/>
      <c r="D12" s="346" t="n"/>
      <c r="E12" s="375" t="inlineStr">
        <is>
          <t>Đánh giá chất lượng build.
Tham số:
- Build Success Rate
- Failed Build
- Rollback
- Release Checklist</t>
        </is>
      </c>
      <c r="F12" s="348" t="inlineStr">
        <is>
          <t xml:space="preserve">Điều kiện  ---	Điểm
Không lỗi build, không rollback	100
1 failed build nhỏ	95
Nhiều failed build	80
Rollback Production	60
</t>
        </is>
      </c>
      <c r="G12" s="348" t="inlineStr">
        <is>
          <t>Điều kiện  ---	Điểm
Không lỗi build, không rollback	-- 10
1 failed build nhỏ	---   9.5
Nhiều failed build --  	8.0
Rollback Production  ---  6.0</t>
        </is>
      </c>
      <c r="H12" s="349" t="inlineStr">
        <is>
          <t>x</t>
        </is>
      </c>
      <c r="I12" s="349" t="inlineStr">
        <is>
          <t>x</t>
        </is>
      </c>
      <c r="J12" s="349" t="inlineStr">
        <is>
          <t>x</t>
        </is>
      </c>
      <c r="K12" s="372" t="n">
        <v>10</v>
      </c>
      <c r="L12" s="349" t="inlineStr">
        <is>
          <t>x</t>
        </is>
      </c>
      <c r="M12" s="349" t="inlineStr">
        <is>
          <t>x</t>
        </is>
      </c>
      <c r="N12" s="351" t="inlineStr">
        <is>
          <t>x</t>
        </is>
      </c>
      <c r="O12" s="372" t="n">
        <v>9.5</v>
      </c>
      <c r="P12" s="319" t="n"/>
      <c r="Q12" s="319" t="n"/>
      <c r="R12" s="319" t="n"/>
      <c r="S12" s="319" t="n"/>
    </row>
    <row r="13" ht="107.25" customHeight="1">
      <c r="A13" s="343" t="n">
        <v>2.4</v>
      </c>
      <c r="B13" s="369" t="inlineStr">
        <is>
          <t>Production Quality</t>
        </is>
      </c>
      <c r="C13" s="370" t="n"/>
      <c r="D13" s="346" t="n"/>
      <c r="E13" s="375" t="inlineStr">
        <is>
          <t>Đây là nhóm phản ánh Outcome của Quality.
Tham số:
- Escaped Defects
- Critical Bug
- P1 Incident
- Customer Complaint</t>
        </is>
      </c>
      <c r="F13" s="353" t="inlineStr">
        <is>
          <t xml:space="preserve">Điều kiện	Điểm
Không Critical Bug	100
1 Minor Bug	95
2 Minor Bug	90
Có Critical Bug	70
Có P1 Incident	50
</t>
        </is>
      </c>
      <c r="G13" s="353" t="inlineStr">
        <is>
          <t xml:space="preserve">Điều kiện ---	Điểm
Không Critical Bug ---	10
1 Minor Bug	--- 9.5
2 Minor Bug	--- 9.0
Có Critical Bug ---	7.0
Có P1 Incident ---	5.0
</t>
        </is>
      </c>
      <c r="H13" s="349" t="inlineStr">
        <is>
          <t>x</t>
        </is>
      </c>
      <c r="I13" s="349" t="inlineStr">
        <is>
          <t>x</t>
        </is>
      </c>
      <c r="J13" s="349" t="inlineStr">
        <is>
          <t>x</t>
        </is>
      </c>
      <c r="K13" s="372" t="n">
        <v>10</v>
      </c>
      <c r="L13" s="349" t="inlineStr">
        <is>
          <t>x</t>
        </is>
      </c>
      <c r="M13" s="349" t="inlineStr">
        <is>
          <t>x</t>
        </is>
      </c>
      <c r="N13" s="351" t="inlineStr">
        <is>
          <t>x</t>
        </is>
      </c>
      <c r="O13" s="372" t="n">
        <v>9</v>
      </c>
      <c r="P13" s="319" t="n"/>
      <c r="Q13" s="319" t="n"/>
      <c r="R13" s="319" t="n"/>
      <c r="S13" s="319" t="n"/>
    </row>
    <row r="14" ht="121.5" customHeight="1">
      <c r="A14" s="343" t="n">
        <v>2.5</v>
      </c>
      <c r="B14" s="369" t="inlineStr">
        <is>
          <t>Quality Process Compliance</t>
        </is>
      </c>
      <c r="C14" s="370" t="n"/>
      <c r="D14" s="346" t="n"/>
      <c r="E14" s="375" t="inlineStr">
        <is>
          <t>Đánh giá việc tuân thủ Quality Practice.
Tham số: 
- Pull Request Checklist
- Definition of Done
- Coding Standard
- Review Checklist
- Documentation</t>
        </is>
      </c>
      <c r="F14" s="357" t="inlineStr">
        <is>
          <t xml:space="preserve">Mức	Mô tả
5	Luôn tuân thủ đầy đủ quy trình
4	Có thiếu sót nhỏ
3	Đôi khi bỏ qua checklist
2	Thường xuyên vi phạm
1	Không tuân thủ quy trình
</t>
        </is>
      </c>
      <c r="G14" s="357" t="inlineStr">
        <is>
          <t xml:space="preserve">Mức   ---	Mô tả
10	Luôn tuân thủ đầy đủ quy trình
9	Có thiếu sót nhỏ
7.5	Đôi khi bỏ qua checklist
5	Thường xuyên vi phạm
2	Không tuân thủ quy trình
</t>
        </is>
      </c>
      <c r="H14" s="349" t="inlineStr">
        <is>
          <t>x</t>
        </is>
      </c>
      <c r="I14" s="349" t="inlineStr">
        <is>
          <t>x</t>
        </is>
      </c>
      <c r="J14" s="349" t="inlineStr">
        <is>
          <t>x</t>
        </is>
      </c>
      <c r="K14" s="372" t="n">
        <v>10</v>
      </c>
      <c r="L14" s="349" t="inlineStr">
        <is>
          <t>x</t>
        </is>
      </c>
      <c r="M14" s="349" t="inlineStr">
        <is>
          <t>x</t>
        </is>
      </c>
      <c r="N14" s="351" t="inlineStr">
        <is>
          <t>x</t>
        </is>
      </c>
      <c r="O14" s="376" t="n">
        <v>9</v>
      </c>
      <c r="P14" s="319" t="n"/>
      <c r="Q14" s="319" t="n"/>
      <c r="R14" s="319" t="n"/>
      <c r="S14" s="319" t="n"/>
    </row>
    <row r="15" ht="121.5" customHeight="1">
      <c r="A15" s="332" t="n">
        <v>3</v>
      </c>
      <c r="B15" s="361" t="inlineStr">
        <is>
          <t>Reliability KPI</t>
        </is>
      </c>
      <c r="C15" s="377" t="n"/>
      <c r="D15" s="378" t="n"/>
      <c r="E15" s="336" t="inlineStr">
        <is>
          <t>Reliability phản ánh khả năng đảm bảo hệ thống vận hành ổn định sau khi thay đổi.
Collaboration đánh giá:
- Chia sẻ tri thức
- Code Review
- Hỗ trợ đồng đội
- Phối hợp liên nhóm
- Khả năng tạo ảnh hưởng tích cực</t>
        </is>
      </c>
      <c r="F15" s="379" t="inlineStr">
        <is>
          <t>Cá nhân + Manager đánh giá</t>
        </is>
      </c>
      <c r="G15" s="380" t="n"/>
      <c r="H15" s="381" t="n"/>
      <c r="I15" s="381" t="n"/>
      <c r="J15" s="381" t="n">
        <v>1</v>
      </c>
      <c r="K15" s="382" t="n">
        <v>10</v>
      </c>
      <c r="L15" s="382" t="n"/>
      <c r="M15" s="381" t="n"/>
      <c r="N15" s="381" t="n">
        <v>0.95</v>
      </c>
      <c r="O15" s="378" t="n">
        <v>9.5</v>
      </c>
      <c r="P15" s="319" t="n"/>
      <c r="Q15" s="319" t="n"/>
      <c r="R15" s="319" t="n"/>
      <c r="S15" s="319" t="n"/>
    </row>
    <row r="16" ht="121.5" customHeight="1">
      <c r="A16" s="332" t="n">
        <v>4</v>
      </c>
      <c r="B16" s="361" t="inlineStr">
        <is>
          <t>Collaboration KPI</t>
        </is>
      </c>
      <c r="C16" s="377" t="n"/>
      <c r="D16" s="378" t="n"/>
      <c r="E16" s="336" t="inlineStr">
        <is>
          <t>Collaboration phản ánh khả năng phối hợp để nâng cao hiệu quả của Team, không phải khả năng giao tiếp đơn thuần.
Collaboration đánh giá:
- Chia sẻ tri thức
- Code Review
- Hỗ trợ đồng đội
- Phối hợp liên nhóm
- Khả năng tạo ảnh hưởng tích cực</t>
        </is>
      </c>
      <c r="F16" s="379" t="inlineStr">
        <is>
          <t>Tự đánh giá</t>
        </is>
      </c>
      <c r="G16" s="380" t="n"/>
      <c r="H16" s="381" t="n"/>
      <c r="I16" s="381" t="n"/>
      <c r="J16" s="381" t="n">
        <v>1</v>
      </c>
      <c r="K16" s="382" t="n">
        <v>10</v>
      </c>
      <c r="L16" s="382" t="n"/>
      <c r="M16" s="381" t="n"/>
      <c r="N16" s="381" t="n">
        <v>0.9</v>
      </c>
      <c r="O16" s="378" t="n">
        <v>9</v>
      </c>
      <c r="P16" s="319" t="n"/>
      <c r="Q16" s="319" t="n"/>
      <c r="R16" s="319" t="n"/>
      <c r="S16" s="319" t="n"/>
    </row>
    <row r="17" ht="183" customHeight="1">
      <c r="A17" s="332" t="n">
        <v>5</v>
      </c>
      <c r="B17" s="361" t="inlineStr">
        <is>
          <t>Growth KPI</t>
        </is>
      </c>
      <c r="C17" s="377" t="n"/>
      <c r="D17" s="378" t="n"/>
      <c r="E17" s="383" t="inlineStr">
        <is>
          <t>Growth phản ánh sự phát triển năng lực của cá nhân và khả năng đóng góp vào sự phát triển năng lực của tổ chức.
Growth không đánh giá:
- Số giờ học
- Số chứng chỉ
- Số khóa học tham gia
Growth đánh giá:
- Mức độ phát triển kỹ năng
- Áp dụng kiến thức vào công việc
- Đóng góp cải tiến
- Khả năng phát triển người khác</t>
        </is>
      </c>
      <c r="F17" s="384" t="inlineStr">
        <is>
          <t>Tự đánh giá</t>
        </is>
      </c>
      <c r="G17" s="385" t="n"/>
      <c r="H17" s="386" t="n"/>
      <c r="I17" s="386" t="n"/>
      <c r="J17" s="386" t="n">
        <v>1</v>
      </c>
      <c r="K17" s="387" t="n">
        <v>10</v>
      </c>
      <c r="L17" s="387" t="n"/>
      <c r="M17" s="381" t="n"/>
      <c r="N17" s="381" t="n">
        <v>0.8</v>
      </c>
      <c r="O17" s="378" t="n">
        <v>8</v>
      </c>
      <c r="P17" s="319" t="n"/>
      <c r="Q17" s="319" t="n"/>
      <c r="R17" s="319" t="n"/>
      <c r="S17" s="319" t="n"/>
    </row>
    <row r="18" ht="290.25" customHeight="1">
      <c r="A18" s="332" t="n">
        <v>6</v>
      </c>
      <c r="B18" s="361" t="inlineStr">
        <is>
          <t>Impact Bonus</t>
        </is>
      </c>
      <c r="C18" s="377" t="n"/>
      <c r="D18" s="378" t="n"/>
      <c r="E18" s="383" t="inlineStr">
        <is>
          <t>Ghi nhận các giá trị phát sinh ngoài kế hoạch. 
Ví dụ cho dev:
- phát hiện bug nghiêm trọng trước khi release
- nghĩ ra giải pháp giúp giảm 70% thời gian build
- cứu production lúc nửa đêm
- viết framework dùng chung cho toàn công ty
Để tránh cảm tính, mỗi đóng góp nên đáp ứng đủ các tiêu chí:
- Không nằm trong kế hoạch KPI ban đầu.
- Có bằng chứng rõ ràng (PR, RFC, tài liệu, RCA, dashboard, số liệu...).
- Được quản lý hoặc hội đồng xác nhận.
- Tạo ra giá trị đo được hoặc tác động rõ ràng.</t>
        </is>
      </c>
      <c r="F18" s="388" t="inlineStr">
        <is>
          <t>Công thức:
- 0%: Không có đóng góp
- 25%: Đóng góp tạo giá trị cho bản thân hoặc một hạng mục nhỏ. Ví dụ: automation cá nhân, phát hiện bug quan trọng, cải tiến workflow cá nhân.
- 50%: Đóng góp mang lại lợi ích cho cả team. Ví dụ: xây reusable component, tối ưu CI/CD của team, cải thiện coding guideline, mentoring hiệu quả.
- 75%: Đóng góp được nhiều team sử dụng hoặc tạo ảnh hưởng liên phòng ban. Ví dụ: xây internal library, framework dùng chung, xử lý production incident lớn, đào tạo nhiều team.
- 100%: Đóng góp tạo ảnh hưởng rõ rệt tới toàn bộ Engineering hoặc doanh nghiệp. Ví dụ: nền tảng mới giúp giảm đáng kể chi phí/vận hành, sáng kiến được triển khai toàn công ty, giải pháp tạo lợi thế cạnh tranh hoặc doanh thu.</t>
        </is>
      </c>
      <c r="G18" s="385" t="n"/>
      <c r="H18" s="386" t="n"/>
      <c r="I18" s="386" t="n"/>
      <c r="J18" s="386" t="inlineStr">
        <is>
          <t>x</t>
        </is>
      </c>
      <c r="K18" s="387" t="n">
        <v>0</v>
      </c>
      <c r="L18" s="387" t="n"/>
      <c r="M18" s="381" t="n"/>
      <c r="N18" s="381" t="inlineStr">
        <is>
          <t>x</t>
        </is>
      </c>
      <c r="O18" s="378" t="n">
        <v>0</v>
      </c>
      <c r="P18" s="319" t="n"/>
      <c r="Q18" s="319" t="n"/>
      <c r="R18" s="319" t="n"/>
      <c r="S18" s="319" t="n"/>
    </row>
    <row r="19" ht="30.75" customHeight="1">
      <c r="A19" s="343" t="n">
        <v>6.1</v>
      </c>
      <c r="B19" s="369" t="inlineStr">
        <is>
          <t>Innovation (tạo ra giá trị mới)</t>
        </is>
      </c>
      <c r="C19" s="370" t="n"/>
      <c r="D19" s="346" t="n"/>
      <c r="E19" s="375" t="inlineStr">
        <is>
          <t>Tạo ra giá trị mới cho công ty.
Ví dụ: Viết script giúp giảm 6 giờ release xuống còn 20 phút.</t>
        </is>
      </c>
      <c r="F19" s="389" t="n"/>
      <c r="G19" s="389" t="n"/>
      <c r="H19" s="349" t="n"/>
      <c r="I19" s="349" t="n"/>
      <c r="J19" s="349" t="n"/>
      <c r="K19" s="372" t="n"/>
      <c r="L19" s="349" t="n"/>
      <c r="M19" s="349" t="n"/>
      <c r="N19" s="351" t="n"/>
      <c r="O19" s="376" t="n"/>
      <c r="P19" s="319" t="n"/>
      <c r="Q19" s="319" t="n"/>
      <c r="R19" s="319" t="n"/>
      <c r="S19" s="319" t="n"/>
    </row>
    <row r="20" ht="76.5" customHeight="1">
      <c r="A20" s="343" t="n">
        <v>6.2</v>
      </c>
      <c r="B20" s="369" t="inlineStr">
        <is>
          <t>Exceptional Contribution</t>
        </is>
      </c>
      <c r="C20" s="370" t="n"/>
      <c r="D20" s="346" t="n"/>
      <c r="E20" s="375" t="inlineStr">
        <is>
          <t>Làm vượt kỳ vọng.
Ví dụ:
- hoàn thành dự án trước deadline lớn
- hỗ trợ nhiều team
- xử lý workload đột biến</t>
        </is>
      </c>
      <c r="F20" s="390" t="n"/>
      <c r="G20" s="390" t="n"/>
      <c r="H20" s="349" t="n"/>
      <c r="I20" s="349" t="n"/>
      <c r="J20" s="349" t="n"/>
      <c r="K20" s="372" t="n"/>
      <c r="L20" s="349" t="n"/>
      <c r="M20" s="349" t="n"/>
      <c r="N20" s="351" t="n"/>
      <c r="O20" s="376" t="n"/>
      <c r="P20" s="319" t="n"/>
      <c r="Q20" s="319" t="n"/>
      <c r="R20" s="319" t="n"/>
      <c r="S20" s="319" t="n"/>
    </row>
    <row r="21" ht="91.5" customHeight="1">
      <c r="A21" s="343" t="n">
        <v>6.3</v>
      </c>
      <c r="B21" s="369" t="inlineStr">
        <is>
          <t>Organization Impact</t>
        </is>
      </c>
      <c r="C21" s="370" t="n"/>
      <c r="D21" s="346" t="n"/>
      <c r="E21" s="375" t="inlineStr">
        <is>
          <t>Ảnh hưởng ở cấp tổ chức.
Ví dụ: 
- xây Coding Standard
- tạo Handbook
- đào tạo nội bộ (workshop)
- mentoring nhiều team</t>
        </is>
      </c>
      <c r="F21" s="390" t="n"/>
      <c r="G21" s="390" t="n"/>
      <c r="H21" s="349" t="n"/>
      <c r="I21" s="349" t="n"/>
      <c r="J21" s="349" t="n"/>
      <c r="K21" s="372" t="n"/>
      <c r="L21" s="349" t="n"/>
      <c r="M21" s="349" t="n"/>
      <c r="N21" s="351" t="n"/>
      <c r="O21" s="376" t="n"/>
      <c r="P21" s="319" t="n"/>
      <c r="Q21" s="319" t="n"/>
      <c r="R21" s="319" t="n"/>
      <c r="S21" s="319" t="n"/>
    </row>
    <row r="22" ht="15.75" customHeight="1">
      <c r="A22" s="343" t="n">
        <v>6.4</v>
      </c>
      <c r="B22" s="369" t="inlineStr">
        <is>
          <t>Emergency Response</t>
        </is>
      </c>
      <c r="C22" s="370" t="n"/>
      <c r="D22" s="346" t="n"/>
      <c r="E22" s="375" t="inlineStr">
        <is>
          <t>Xử lý tình huống khẩn cấp ảnh hưởng tới công ty / tổ chức</t>
        </is>
      </c>
      <c r="F22" s="29" t="n"/>
      <c r="G22" s="29" t="n"/>
      <c r="H22" s="349" t="n"/>
      <c r="I22" s="349" t="n"/>
      <c r="J22" s="349" t="n"/>
      <c r="K22" s="372" t="n"/>
      <c r="L22" s="349" t="n"/>
      <c r="M22" s="349" t="n"/>
      <c r="N22" s="351" t="n"/>
      <c r="O22" s="376" t="n"/>
      <c r="P22" s="319" t="n"/>
      <c r="Q22" s="319" t="n"/>
      <c r="R22" s="319" t="n"/>
      <c r="S22" s="319" t="n"/>
    </row>
    <row r="23" ht="30.75" customHeight="1">
      <c r="A23" s="391" t="inlineStr">
        <is>
          <t>B.</t>
        </is>
      </c>
      <c r="B23" s="392" t="inlineStr">
        <is>
          <t>TINH THẦN VÀ TRÁCH NHIỆM (TỶ TRỌNG: 15%)</t>
        </is>
      </c>
      <c r="C23" s="393" t="n"/>
      <c r="D23" s="394">
        <f>SUBTOTAL(9,D24:D26)</f>
        <v/>
      </c>
      <c r="E23" s="395" t="n"/>
      <c r="F23" s="395">
        <f> Trọng số * Điểm đạt * Tỷ trọng</f>
        <v/>
      </c>
      <c r="G23" s="396" t="n"/>
      <c r="H23" s="397" t="n"/>
      <c r="I23" s="397" t="n"/>
      <c r="J23" s="397" t="n"/>
      <c r="K23" s="398">
        <f>SUBTOTAL(9,K24:K26)</f>
        <v/>
      </c>
      <c r="L23" s="399" t="n"/>
      <c r="M23" s="400" t="n"/>
      <c r="N23" s="401" t="n"/>
      <c r="O23" s="402">
        <f>SUBTOTAL(9,O24:O26)</f>
        <v/>
      </c>
      <c r="P23" s="403" t="n"/>
      <c r="Q23" s="404" t="n"/>
      <c r="R23" s="405" t="n"/>
      <c r="S23" s="406" t="n"/>
      <c r="T23" s="406" t="n"/>
    </row>
    <row r="24" ht="15.75" customHeight="1">
      <c r="A24" s="407" t="n">
        <v>1</v>
      </c>
      <c r="B24" s="408" t="inlineStr">
        <is>
          <t>Chủ động trong công việc</t>
        </is>
      </c>
      <c r="C24" s="359" t="n">
        <v>10</v>
      </c>
      <c r="D24" s="409" t="n">
        <v>0.3</v>
      </c>
      <c r="E24" s="410" t="inlineStr">
        <is>
          <t>Theo bảng tiêu chí B, C</t>
        </is>
      </c>
      <c r="F24" s="411" t="n"/>
      <c r="G24" s="411" t="n"/>
      <c r="H24" s="412" t="n">
        <v>10</v>
      </c>
      <c r="I24" s="413">
        <f>H24/C24</f>
        <v/>
      </c>
      <c r="J24" s="414" t="inlineStr">
        <is>
          <t>x</t>
        </is>
      </c>
      <c r="K24" s="414">
        <f>$D24*$I24*15%</f>
        <v/>
      </c>
      <c r="L24" s="415" t="n">
        <v>9</v>
      </c>
      <c r="M24" s="416">
        <f>L24/C24</f>
        <v/>
      </c>
      <c r="N24" s="359" t="inlineStr">
        <is>
          <t>x</t>
        </is>
      </c>
      <c r="O24" s="417">
        <f>$D24*$M24*15%</f>
        <v/>
      </c>
      <c r="P24" s="403" t="n"/>
      <c r="Q24" s="418" t="n"/>
      <c r="R24" s="419" t="n"/>
      <c r="S24" s="419" t="n"/>
      <c r="T24" s="419" t="n"/>
    </row>
    <row r="25" ht="15.75" customHeight="1">
      <c r="A25" s="407" t="n">
        <v>2</v>
      </c>
      <c r="B25" s="408" t="inlineStr">
        <is>
          <t>Phối hợp trong công việc</t>
        </is>
      </c>
      <c r="C25" s="359" t="n">
        <v>10</v>
      </c>
      <c r="D25" s="409" t="n">
        <v>0.3</v>
      </c>
      <c r="F25" s="411" t="n"/>
      <c r="G25" s="411" t="n"/>
      <c r="H25" s="412" t="n">
        <v>10</v>
      </c>
      <c r="I25" s="413">
        <f>H25/C25</f>
        <v/>
      </c>
      <c r="J25" s="414" t="inlineStr">
        <is>
          <t>x</t>
        </is>
      </c>
      <c r="K25" s="414">
        <f>$D25*$I25*15%</f>
        <v/>
      </c>
      <c r="L25" s="389" t="n">
        <v>8</v>
      </c>
      <c r="M25" s="416">
        <f>L25/C25</f>
        <v/>
      </c>
      <c r="N25" s="359" t="inlineStr">
        <is>
          <t>x</t>
        </is>
      </c>
      <c r="O25" s="417">
        <f>$D25*$M25*15%</f>
        <v/>
      </c>
      <c r="P25" s="403" t="n"/>
      <c r="Q25" s="418" t="n"/>
      <c r="R25" s="419" t="n"/>
      <c r="S25" s="419" t="n"/>
      <c r="T25" s="419" t="n"/>
    </row>
    <row r="26" ht="45.75" customHeight="1">
      <c r="A26" s="407" t="n">
        <v>3</v>
      </c>
      <c r="B26" s="408" t="inlineStr">
        <is>
          <t>Tuân thủ kỷ luật trong công việc, chấp hành yêu cầu cấp trên và các quy định nội quy của Công ty</t>
        </is>
      </c>
      <c r="C26" s="359" t="n">
        <v>10</v>
      </c>
      <c r="D26" s="409" t="n">
        <v>0.4</v>
      </c>
      <c r="E26" s="420" t="n"/>
      <c r="F26" s="411" t="n"/>
      <c r="G26" s="411" t="n"/>
      <c r="H26" s="412" t="n">
        <v>10</v>
      </c>
      <c r="I26" s="413">
        <f>H26/C26</f>
        <v/>
      </c>
      <c r="J26" s="414" t="inlineStr">
        <is>
          <t>x</t>
        </is>
      </c>
      <c r="K26" s="414">
        <f>$D26*$I26*15%</f>
        <v/>
      </c>
      <c r="L26" s="389" t="n">
        <v>10</v>
      </c>
      <c r="M26" s="416">
        <f>L26/C26</f>
        <v/>
      </c>
      <c r="N26" s="359" t="inlineStr">
        <is>
          <t>x</t>
        </is>
      </c>
      <c r="O26" s="417">
        <f>$D26*$M26*15%</f>
        <v/>
      </c>
      <c r="P26" s="403" t="n"/>
      <c r="Q26" s="418" t="n"/>
      <c r="R26" s="419" t="n"/>
      <c r="S26" s="419" t="n"/>
      <c r="T26" s="419" t="n"/>
    </row>
    <row r="27" ht="30.75" customHeight="1">
      <c r="A27" s="391" t="inlineStr">
        <is>
          <t>C.</t>
        </is>
      </c>
      <c r="B27" s="327" t="inlineStr">
        <is>
          <t>KỶ LUẬT LAO ĐỘNG (TỶ TRỌNG: 5%)</t>
        </is>
      </c>
      <c r="C27" s="421" t="n"/>
      <c r="D27" s="422">
        <f>SUBTOTAL(9,D28:D31)</f>
        <v/>
      </c>
      <c r="E27" s="423" t="n"/>
      <c r="F27" s="395">
        <f> Trọng số * Điểm đạt * Tỷ trọng</f>
        <v/>
      </c>
      <c r="G27" s="424" t="n"/>
      <c r="H27" s="425" t="n"/>
      <c r="I27" s="425" t="n"/>
      <c r="J27" s="425" t="n"/>
      <c r="K27" s="426">
        <f>SUBTOTAL(9,K28:K31)</f>
        <v/>
      </c>
      <c r="L27" s="427" t="n"/>
      <c r="M27" s="428" t="n"/>
      <c r="N27" s="427" t="n"/>
      <c r="O27" s="429">
        <f>SUBTOTAL(9,O28:O31)</f>
        <v/>
      </c>
      <c r="P27" s="403" t="n"/>
      <c r="Q27" s="404" t="n"/>
      <c r="R27" s="405" t="n"/>
      <c r="S27" s="405" t="n"/>
      <c r="T27" s="405" t="n"/>
    </row>
    <row r="28" ht="15.75" customHeight="1">
      <c r="A28" s="407" t="n">
        <v>1</v>
      </c>
      <c r="B28" s="408" t="inlineStr">
        <is>
          <t>Đi muộn, về sớm</t>
        </is>
      </c>
      <c r="C28" s="359" t="n">
        <v>10</v>
      </c>
      <c r="D28" s="409" t="n">
        <v>0.3</v>
      </c>
      <c r="E28" s="430" t="inlineStr">
        <is>
          <t>Theo bảng tiêu chí B, C</t>
        </is>
      </c>
      <c r="F28" s="411" t="n"/>
      <c r="G28" s="411" t="n"/>
      <c r="H28" s="412" t="n">
        <v>10</v>
      </c>
      <c r="I28" s="413">
        <f>H28/C28</f>
        <v/>
      </c>
      <c r="J28" s="414" t="inlineStr">
        <is>
          <t>x</t>
        </is>
      </c>
      <c r="K28" s="431">
        <f>$D28*$I28*5%</f>
        <v/>
      </c>
      <c r="L28" s="359" t="n">
        <v>7</v>
      </c>
      <c r="M28" s="432">
        <f>L28/C28</f>
        <v/>
      </c>
      <c r="N28" s="359" t="inlineStr">
        <is>
          <t>x</t>
        </is>
      </c>
      <c r="O28" s="433">
        <f>$D28*$M28*5%</f>
        <v/>
      </c>
      <c r="P28" s="403" t="n"/>
      <c r="Q28" s="418" t="n"/>
      <c r="R28" s="419" t="n"/>
      <c r="S28" s="419" t="n"/>
      <c r="T28" s="419" t="n"/>
    </row>
    <row r="29" ht="15.75" customHeight="1">
      <c r="A29" s="407" t="n">
        <v>2</v>
      </c>
      <c r="B29" s="408" t="inlineStr">
        <is>
          <t>Nghỉ không phép</t>
        </is>
      </c>
      <c r="C29" s="359" t="n">
        <v>10</v>
      </c>
      <c r="D29" s="409" t="n">
        <v>0.3</v>
      </c>
      <c r="F29" s="411" t="n"/>
      <c r="G29" s="411" t="n"/>
      <c r="H29" s="412" t="n">
        <v>10</v>
      </c>
      <c r="I29" s="413">
        <f>H29/C29</f>
        <v/>
      </c>
      <c r="J29" s="414" t="inlineStr">
        <is>
          <t>x</t>
        </is>
      </c>
      <c r="K29" s="431">
        <f>$D29*$I29*5%</f>
        <v/>
      </c>
      <c r="L29" s="359" t="n">
        <v>7</v>
      </c>
      <c r="M29" s="432">
        <f>L29/C29</f>
        <v/>
      </c>
      <c r="N29" s="359" t="inlineStr">
        <is>
          <t>x</t>
        </is>
      </c>
      <c r="O29" s="433">
        <f>$D29*$M29*5%</f>
        <v/>
      </c>
      <c r="P29" s="403" t="n"/>
      <c r="Q29" s="418" t="n"/>
      <c r="R29" s="419" t="n"/>
      <c r="S29" s="419" t="n"/>
      <c r="T29" s="419" t="n"/>
    </row>
    <row r="30" ht="30.75" customHeight="1">
      <c r="A30" s="407" t="n">
        <v>3</v>
      </c>
      <c r="B30" s="408" t="inlineStr">
        <is>
          <t>Quên không chấm công (check in và check out)</t>
        </is>
      </c>
      <c r="C30" s="359" t="n">
        <v>10</v>
      </c>
      <c r="D30" s="409" t="n">
        <v>0.3</v>
      </c>
      <c r="F30" s="411" t="n"/>
      <c r="G30" s="411" t="n"/>
      <c r="H30" s="412" t="n">
        <v>10</v>
      </c>
      <c r="I30" s="413">
        <f>H30/C30</f>
        <v/>
      </c>
      <c r="J30" s="414" t="inlineStr">
        <is>
          <t>x</t>
        </is>
      </c>
      <c r="K30" s="431">
        <f>$D30*$I30*5%</f>
        <v/>
      </c>
      <c r="L30" s="359" t="n">
        <v>6</v>
      </c>
      <c r="M30" s="432">
        <f>L30/C30</f>
        <v/>
      </c>
      <c r="N30" s="359" t="inlineStr">
        <is>
          <t>x</t>
        </is>
      </c>
      <c r="O30" s="433">
        <f>$D30*$M30*5%</f>
        <v/>
      </c>
      <c r="P30" s="403" t="n"/>
      <c r="Q30" s="418" t="n"/>
      <c r="R30" s="419" t="n"/>
      <c r="S30" s="419" t="n"/>
      <c r="T30" s="419" t="n"/>
    </row>
    <row r="31" ht="15.75" customHeight="1">
      <c r="A31" s="434" t="n">
        <v>4</v>
      </c>
      <c r="B31" s="435" t="inlineStr">
        <is>
          <t>Xanh-Sạch-Đẹp</t>
        </is>
      </c>
      <c r="C31" s="359" t="n">
        <v>10</v>
      </c>
      <c r="D31" s="409" t="n">
        <v>0.1</v>
      </c>
      <c r="E31" s="62" t="n"/>
      <c r="F31" s="411" t="n"/>
      <c r="G31" s="411" t="n"/>
      <c r="H31" s="412" t="n">
        <v>10</v>
      </c>
      <c r="I31" s="413">
        <f>H31/C31</f>
        <v/>
      </c>
      <c r="J31" s="414" t="inlineStr">
        <is>
          <t>x</t>
        </is>
      </c>
      <c r="K31" s="431">
        <f>$D31*$I31*5%</f>
        <v/>
      </c>
      <c r="L31" s="359" t="n">
        <v>6</v>
      </c>
      <c r="M31" s="432">
        <f>L31/C31</f>
        <v/>
      </c>
      <c r="N31" s="359" t="inlineStr">
        <is>
          <t>x</t>
        </is>
      </c>
      <c r="O31" s="433">
        <f>$D31*$M31*5%</f>
        <v/>
      </c>
      <c r="P31" s="403" t="n"/>
      <c r="Q31" s="418" t="n"/>
      <c r="R31" s="419" t="n"/>
      <c r="S31" s="419" t="n"/>
      <c r="T31" s="419" t="n"/>
    </row>
    <row r="32" ht="15.75" customHeight="1">
      <c r="A32" s="436" t="inlineStr">
        <is>
          <t>TỔNG</t>
        </is>
      </c>
      <c r="B32" s="127" t="n"/>
      <c r="C32" s="27" t="n"/>
      <c r="D32" s="437" t="n"/>
      <c r="E32" s="438" t="n"/>
      <c r="F32" s="437" t="n"/>
      <c r="G32" s="437" t="n"/>
      <c r="H32" s="437" t="n"/>
      <c r="I32" s="437" t="n"/>
      <c r="J32" s="437" t="n"/>
      <c r="K32" s="439">
        <f>SUM(K27,K23,K3)</f>
        <v/>
      </c>
      <c r="L32" s="439" t="n"/>
      <c r="M32" s="440" t="n"/>
      <c r="N32" s="440" t="n"/>
      <c r="O32" s="439">
        <f>SUM(O27,O23,O3)</f>
        <v/>
      </c>
      <c r="P32" s="403" t="n"/>
      <c r="Q32" s="441" t="n"/>
      <c r="R32" s="442" t="n"/>
      <c r="S32" s="442" t="n"/>
      <c r="T32" s="443" t="n"/>
    </row>
    <row r="33" ht="15.75" customHeight="1">
      <c r="A33" s="444" t="inlineStr">
        <is>
          <t>TỔNG CỘNG= ((Nhân viên đánh giá *1)+(CBQL đánh giá *2))/3</t>
        </is>
      </c>
      <c r="B33" s="445" t="n"/>
      <c r="C33" s="446" t="n"/>
      <c r="D33" s="446" t="n"/>
      <c r="E33" s="446" t="n"/>
      <c r="F33" s="446" t="n"/>
      <c r="G33" s="446" t="n"/>
      <c r="H33" s="447">
        <f>(K32 + O32*2)/3</f>
        <v/>
      </c>
      <c r="I33" s="127" t="n"/>
      <c r="J33" s="127" t="n"/>
      <c r="K33" s="127" t="n"/>
      <c r="L33" s="127" t="n"/>
      <c r="M33" s="127" t="n"/>
      <c r="N33" s="127" t="n"/>
      <c r="O33" s="27" t="n"/>
      <c r="P33" s="448" t="n"/>
      <c r="Q33" s="448" t="n"/>
      <c r="R33" s="448" t="n"/>
      <c r="S33" s="448" t="n"/>
      <c r="T33" s="449" t="n"/>
    </row>
  </sheetData>
  <mergeCells count="13">
    <mergeCell ref="A32:C32"/>
    <mergeCell ref="E24:E26"/>
    <mergeCell ref="H33:O33"/>
    <mergeCell ref="E28:E31"/>
    <mergeCell ref="C1:C2"/>
    <mergeCell ref="D1:D2"/>
    <mergeCell ref="G1:G2"/>
    <mergeCell ref="F1:F2"/>
    <mergeCell ref="G19:G22"/>
    <mergeCell ref="H1:K1"/>
    <mergeCell ref="L1:O1"/>
    <mergeCell ref="F19:F22"/>
    <mergeCell ref="A1:A2"/>
  </mergeCells>
  <pageMargins left="0.75" right="0.75" top="1" bottom="1" header="0.5" footer="0.5"/>
</worksheet>
</file>

<file path=xl/worksheets/sheet5.xml><?xml version="1.0" encoding="utf-8"?>
<worksheet xmlns="http://schemas.openxmlformats.org/spreadsheetml/2006/main">
  <sheetPr>
    <tabColor rgb="FFFFC000"/>
    <outlinePr summaryBelow="1" summaryRight="1"/>
    <pageSetUpPr/>
  </sheetPr>
  <dimension ref="A1:H35"/>
  <sheetViews>
    <sheetView topLeftCell="A12" workbookViewId="0">
      <selection activeCell="G23" sqref="G23:G25"/>
    </sheetView>
  </sheetViews>
  <sheetFormatPr baseColWidth="8" defaultColWidth="9" defaultRowHeight="15.75"/>
  <cols>
    <col width="9.142857142857141" customWidth="1" style="58" min="1" max="1"/>
    <col width="66.8571428571429" customWidth="1" style="59" min="2" max="2"/>
    <col width="66.8571428571429" customWidth="1" style="58" min="3" max="3"/>
    <col width="48.2857142857143" customWidth="1" style="60" min="4" max="4"/>
    <col width="48.2857142857143" customWidth="1" style="59" min="5" max="5"/>
    <col width="48.8571428571429" customWidth="1" style="59" min="6" max="6"/>
    <col width="41.2857142857143" customWidth="1" style="59" min="7" max="7"/>
    <col width="61.4285714285714" customWidth="1" style="59" min="8" max="8"/>
    <col width="9.142857142857141" customWidth="1" style="59" min="9" max="16384"/>
  </cols>
  <sheetData>
    <row r="1">
      <c r="B1" s="61" t="inlineStr">
        <is>
          <t>BẢNG MÃ CÔNG VIỆC THEO BÁO CÁO CÔNG VIỆC CỦA NHÂN SỰ</t>
        </is>
      </c>
      <c r="C1" s="62" t="n"/>
    </row>
    <row r="2">
      <c r="B2" s="66" t="inlineStr">
        <is>
          <t>Nhóm công việc</t>
        </is>
      </c>
      <c r="C2" s="66" t="inlineStr">
        <is>
          <t>Tỷ trọng</t>
        </is>
      </c>
      <c r="D2" s="66" t="inlineStr">
        <is>
          <t>Mục tiêu</t>
        </is>
      </c>
    </row>
    <row r="3">
      <c r="B3" s="59" t="inlineStr">
        <is>
          <t>Kiểm thử phần mềm (Testing)</t>
        </is>
      </c>
      <c r="C3" s="90" t="n">
        <v>0.6</v>
      </c>
      <c r="D3" s="59" t="inlineStr">
        <is>
          <t>Đảm bảo chất lượng sản phẩm trước khi phát hành</t>
        </is>
      </c>
    </row>
    <row r="4" ht="30.75" customHeight="1">
      <c r="B4" s="59" t="inlineStr">
        <is>
          <t>Tài liệu hóa &amp; Chuyển giao</t>
        </is>
      </c>
      <c r="C4" s="90" t="n">
        <v>0.1</v>
      </c>
      <c r="D4" s="59" t="inlineStr">
        <is>
          <t>Đảm bảo tri thức được chuẩn hóa và bộ phận Operation tiếp nhận đầy đủ</t>
        </is>
      </c>
    </row>
    <row r="5" ht="30.75" customHeight="1">
      <c r="B5" s="59" t="inlineStr">
        <is>
          <t>Vận hành sản phẩm (Operation Support)</t>
        </is>
      </c>
      <c r="C5" s="90" t="n">
        <v>0.2</v>
      </c>
      <c r="D5" s="59" t="inlineStr">
        <is>
          <t>Đảm bảo hệ thống hoạt động ổn định sau khi triển khai</t>
        </is>
      </c>
    </row>
    <row r="6" ht="30.75" customHeight="1">
      <c r="B6" s="59" t="inlineStr">
        <is>
          <t>Tham gia sản xuất phần mềm</t>
        </is>
      </c>
      <c r="C6" s="90" t="n">
        <v>0.1</v>
      </c>
      <c r="D6" s="59" t="inlineStr">
        <is>
          <t>Tham gia cải tiến quy trình, phối hợp phát triển sản phẩm</t>
        </is>
      </c>
    </row>
    <row r="8">
      <c r="B8" s="91" t="inlineStr">
        <is>
          <t>BẢNG MAPPING CÔNG VIỆC NHÂN SỰ THỰC HIỆN ĐƯỢC ĐÁNH GIÁ TRONG CHỈ TIÊU KPI</t>
        </is>
      </c>
      <c r="C8" s="27" t="n"/>
    </row>
    <row r="9">
      <c r="B9" s="63" t="inlineStr">
        <is>
          <t>Tiêu chí</t>
        </is>
      </c>
      <c r="C9" s="92" t="inlineStr">
        <is>
          <t>Tỷ trọng</t>
        </is>
      </c>
      <c r="D9" s="66" t="inlineStr">
        <is>
          <t>Mục tiêu đánh giá</t>
        </is>
      </c>
      <c r="E9" s="66" t="inlineStr">
        <is>
          <t>Đối tượng áp dụng</t>
        </is>
      </c>
      <c r="F9" s="66" t="inlineStr">
        <is>
          <t>Mapping với công việc thực tế</t>
        </is>
      </c>
      <c r="H9" s="60" t="n"/>
    </row>
    <row r="10" ht="45.75" customHeight="1">
      <c r="B10" s="63" t="inlineStr">
        <is>
          <t>1. Hiệu quả thực hiện công việc</t>
        </is>
      </c>
      <c r="C10" s="68" t="n">
        <v>0.3</v>
      </c>
      <c r="D10" s="59" t="inlineStr">
        <is>
          <t>Đánh giá mức độ hoàn thành khối lượng công việc được giao đúng tiến độ, bao gồm kiểm thử và các nhiệm vụ hỗ trợ vận hành.</t>
        </is>
      </c>
      <c r="E10" s="59" t="inlineStr">
        <is>
          <t>Intern, Chuyên viên, Leader</t>
        </is>
      </c>
      <c r="F10" s="66" t="inlineStr">
        <is>
          <t>✓ Kiểm thử các tính năng của hệ thống V2, V5, V6 (60%)✓ Thực hiện các nhiệm vụ vận hành theo phân công✓ Hỗ trợ Operator xử lý lỗi, sự cố phát sinh</t>
        </is>
      </c>
      <c r="H10" s="60" t="n"/>
    </row>
    <row r="11" ht="45.75" customHeight="1">
      <c r="B11" s="63" t="inlineStr">
        <is>
          <t>2. Chất lượng chuyên môn</t>
        </is>
      </c>
      <c r="C11" s="68" t="n">
        <v>0.25</v>
      </c>
      <c r="D11" s="59" t="inlineStr">
        <is>
          <t>Đánh giá chất lượng đầu ra của công việc kiểm thử, tài liệu và chuyển giao nhằm đảm bảo chất lượng sản phẩm trước và sau khi phát hành.</t>
        </is>
      </c>
      <c r="E11" s="59" t="inlineStr">
        <is>
          <t>Intern, Chuyên viên, Leader</t>
        </is>
      </c>
      <c r="F11" s="66" t="inlineStr">
        <is>
          <t>✓ Kiểm thử các tính năng của hệ thống V2, V5, V6✓ Tài liệu hóa Test Case✓ Chuyển giao tính năng cho Operation</t>
        </is>
      </c>
      <c r="H11" s="60" t="n"/>
    </row>
    <row r="12" ht="45.75" customHeight="1">
      <c r="B12" s="63" t="inlineStr">
        <is>
          <t>3. Cải tiến &amp; Phát triển</t>
        </is>
      </c>
      <c r="C12" s="68" t="n">
        <v>0.1</v>
      </c>
      <c r="D12" s="59" t="inlineStr">
        <is>
          <t>Đánh giá mức độ đóng góp vào việc cải tiến quy trình, công cụ, chất lượng sản phẩm và hỗ trợ hoạt động phát triển phần mềm.</t>
        </is>
      </c>
      <c r="E12" s="59" t="inlineStr">
        <is>
          <t>Chuyên viên, Leader (Intern áp dụng ở mức đơn giản)</t>
        </is>
      </c>
      <c r="F12" s="66" t="inlineStr">
        <is>
          <t>✓ Tham gia sản xuất phần mềm (10%)✓ Đề xuất cải tiến quy trình kiểm thử✓ Hỗ trợ BA/Developer khi được phân công</t>
        </is>
      </c>
      <c r="H12" s="60" t="n"/>
    </row>
    <row r="13" ht="45.75" customHeight="1">
      <c r="B13" s="66" t="inlineStr">
        <is>
          <t>4. Tuân thủ quy trình &amp; Phối hợp</t>
        </is>
      </c>
      <c r="C13" s="93" t="n">
        <v>0.1</v>
      </c>
      <c r="D13" s="59" t="inlineStr">
        <is>
          <t>Đánh giá việc tuân thủ quy trình làm việc, tinh thần phối hợp và tác phong trong quá trình thực hiện công việc.</t>
        </is>
      </c>
      <c r="E13" s="59" t="inlineStr">
        <is>
          <t>Intern, Chuyên viên, Leader</t>
        </is>
      </c>
      <c r="F13" s="66" t="inlineStr">
        <is>
          <t>✓ Áp dụng cho toàn bộ công việc của Tester gồm kiểm thử, tài liệu hóa, chuyển giao, hỗ trợ vận hành và tham gia phát triển sản phẩm.</t>
        </is>
      </c>
      <c r="H13" s="60" t="n"/>
    </row>
    <row r="14">
      <c r="B14" s="94" t="inlineStr">
        <is>
          <t>Tổng KPI chuyên môn</t>
        </is>
      </c>
      <c r="C14" s="95" t="n">
        <v>0.75</v>
      </c>
    </row>
    <row r="15">
      <c r="B15" s="66" t="n"/>
      <c r="C15" s="93" t="n"/>
    </row>
    <row r="18" ht="31.5" customHeight="1">
      <c r="B18" s="61" t="inlineStr">
        <is>
          <t>BẢNG KPI CHI TIẾT</t>
        </is>
      </c>
      <c r="C18" s="62" t="n"/>
    </row>
    <row r="19" ht="38.25" customHeight="1">
      <c r="A19" s="96" t="inlineStr">
        <is>
          <t>STT</t>
        </is>
      </c>
      <c r="B19" s="96" t="inlineStr">
        <is>
          <t>Tiêu chí</t>
        </is>
      </c>
      <c r="C19" s="96" t="n"/>
      <c r="D19" s="97" t="inlineStr">
        <is>
          <t>Mô tả</t>
        </is>
      </c>
      <c r="E19" s="96" t="inlineStr">
        <is>
          <t>Phạm vi đánh giá</t>
        </is>
      </c>
      <c r="F19" s="98" t="inlineStr">
        <is>
          <t>Cách đo lường</t>
        </is>
      </c>
      <c r="G19" s="99" t="inlineStr">
        <is>
          <t>Thang điểm dánh giá</t>
        </is>
      </c>
    </row>
    <row r="20" ht="38.25" customHeight="1">
      <c r="A20" s="96" t="n"/>
      <c r="B20" s="96" t="n"/>
      <c r="C20" s="96" t="n"/>
      <c r="D20" s="97" t="n"/>
      <c r="E20" s="96" t="n"/>
      <c r="F20" s="98" t="n"/>
      <c r="G20" s="99" t="n"/>
    </row>
    <row r="21" ht="70.5" customHeight="1">
      <c r="A21" s="71" t="inlineStr">
        <is>
          <t>A</t>
        </is>
      </c>
      <c r="B21" s="100" t="inlineStr">
        <is>
          <t>Hiệu quả công việc: Max 75%</t>
        </is>
      </c>
      <c r="C21" s="289" t="inlineStr">
        <is>
          <t>= 30% x Hiệu quả thực hiện công việc + 25% x Chất lượng chuyên môn + 10% x Cải tiến &amp; Phát triển + 10% x Tuân thủ quy trình &amp; Phối hợp</t>
        </is>
      </c>
      <c r="D21" s="102" t="n"/>
      <c r="E21" s="100" t="n"/>
      <c r="F21" s="103" t="n"/>
      <c r="G21" s="72" t="n"/>
    </row>
    <row r="22" ht="111" customHeight="1">
      <c r="A22" s="104" t="n">
        <v>1</v>
      </c>
      <c r="B22" s="105" t="inlineStr">
        <is>
          <t>Hiệu quả thực hiện công việc : 30%</t>
        </is>
      </c>
      <c r="C22" s="286" t="inlineStr">
        <is>
          <t>= 40% x Hoàn thành kế hoạch kiểm thử + 35% x Tiến độ xử lý công việc + 25% x Hỗ trợ vận hành</t>
        </is>
      </c>
      <c r="D22" s="107" t="n"/>
      <c r="E22" s="108" t="n"/>
      <c r="F22" s="109" t="n"/>
      <c r="G22" s="79" t="n"/>
    </row>
    <row r="23" ht="129" customHeight="1">
      <c r="A23" s="110" t="n">
        <v>1.1</v>
      </c>
      <c r="B23" s="81" t="inlineStr">
        <is>
          <t>Hoàn thành kế hoạch kiểm thử</t>
        </is>
      </c>
      <c r="C23" s="64" t="n"/>
      <c r="D23" s="111" t="inlineStr">
        <is>
          <t>Đánh giá khả năng hoàn thành khối lượng công việc kiểm thử theo kế hoạch đã thống nhất trong tháng.</t>
        </is>
      </c>
      <c r="E23" s="290" t="inlineStr">
        <is>
          <t>- Đánh giá: Test Case, Test Task, Regression Test, Smoke Test, UAT hỗ trợ (nếu được giao).
- Không đánh giá: Công việc chưa được giao chính thức; công việc bị hủy; thay đổi phạm vi sau khi Leader phê duyệt; chờ BA/Dev hoặc môi trường kiểm thử chưa sẵn sàng.</t>
        </is>
      </c>
      <c r="F23" s="112" t="inlineStr">
        <is>
          <t>(Số Test Case/Task hoàn thành đúng kế hoạch ÷ Tổng Test Case/Task được giao) × 100%</t>
        </is>
      </c>
      <c r="G23" s="113" t="inlineStr">
        <is>
          <t>10: ≥100%
9: 95%–&lt;100%
8: 90%–&lt;95%
7: 80%–&lt;90%
5: &lt;80%</t>
        </is>
      </c>
    </row>
    <row r="24" ht="103.5" customHeight="1">
      <c r="A24" s="114" t="n">
        <v>1.2</v>
      </c>
      <c r="B24" s="81" t="inlineStr">
        <is>
          <t>Tiến độ xử lý công việc</t>
        </is>
      </c>
      <c r="C24" s="64" t="n"/>
      <c r="D24" s="82" t="inlineStr">
        <is>
          <t>Đánh giá khả năng hoàn thành công việc đúng thời hạn cam kết.</t>
        </is>
      </c>
      <c r="E24" s="290" t="inlineStr">
        <is>
          <t>- Đánh giá: Deadline của từng Task/Test Plan theo Jira hoặc kế hoạch được Leader phê duyệt.
- Không đánh giá: Deadline thay đổi do khách quan (đổi yêu cầu, build giao muộn, hệ thống lỗi, chờ xác nhận nghiệp vụ).</t>
        </is>
      </c>
      <c r="F24" s="112" t="inlineStr">
        <is>
          <t>(Số công việc hoàn thành đúng hạn ÷ Tổng công việc được giao) × 100%</t>
        </is>
      </c>
      <c r="G24" s="113" t="inlineStr">
        <is>
          <t>10: ≥98%
9: 95%–&lt;98%
8: 90%–&lt;95%
7: 85%–&lt;90%
5: &lt;85%</t>
        </is>
      </c>
    </row>
    <row r="25" ht="137.25" customHeight="1">
      <c r="A25" s="64" t="n">
        <v>1.3</v>
      </c>
      <c r="B25" s="115" t="inlineStr">
        <is>
          <t>Hỗ trợ vận hành</t>
        </is>
      </c>
      <c r="C25" s="116" t="n"/>
      <c r="D25" s="117" t="inlineStr">
        <is>
          <t>Đánh giá mức độ hoàn thành các nhiệm vụ hỗ trợ vận hành, xử lý sự cố và hỗ trợ Operator theo phân công.</t>
        </is>
      </c>
      <c r="E25" s="291" t="inlineStr">
        <is>
          <t>- Đánh giá: Ticket hỗ trợ, xử lý lỗi, hỗ trợ game/event, hỗ trợ Operation theo yêu cầu.
- Không đánh giá: Công việc ngoài phạm vi Tester; sự cố do hạ tầng hoặc đơn vị khác xử lý; yêu cầu chưa được phân công chính thức.</t>
        </is>
      </c>
      <c r="F25" s="118" t="inlineStr">
        <is>
          <t>Đánh giá kết quả thực hiện các nhiệm vụ hỗ trợ vận hành và xử lý sự cố được giao trong tháng</t>
        </is>
      </c>
      <c r="G25" s="81" t="inlineStr">
        <is>
          <t xml:space="preserve">| Kết quả   |   Điểm |
| ≥98% SLA | 10 |
| 95–99%    |  9 |
| 90–94%    |  8 |
| 80–89%    |  7 |
| &lt;80%      |  5 |
</t>
        </is>
      </c>
    </row>
    <row r="26" ht="56.25" customHeight="1">
      <c r="A26" s="86" t="n">
        <v>2</v>
      </c>
      <c r="B26" s="119" t="inlineStr">
        <is>
          <t>Chất lượng chuyên môn: 25%</t>
        </is>
      </c>
      <c r="C26" s="286" t="inlineStr">
        <is>
          <t>= 45% x Chất lượng kiểm thử + 30% x Chất lượng Test Case &amp; Bug Report + 25% x Chất lượng tài liệu &amp; Chuyển giao</t>
        </is>
      </c>
      <c r="D26" s="107" t="n"/>
      <c r="E26" s="108" t="n"/>
      <c r="F26" s="109" t="n"/>
      <c r="G26" s="79" t="n"/>
    </row>
    <row r="27" ht="144.75" customHeight="1">
      <c r="A27" s="64" t="n">
        <v>2.1</v>
      </c>
      <c r="B27" s="120" t="inlineStr">
        <is>
          <t>Chất lượng kiểm thử</t>
        </is>
      </c>
      <c r="C27" s="64" t="n"/>
      <c r="D27" s="82" t="inlineStr">
        <is>
          <t>Đánh giá hiệu quả hoạt động kiểm thử thông qua khả năng phát hiện lỗi và hạn chế lỗi lọt sang các giai đoạn sau.</t>
        </is>
      </c>
      <c r="E27" s="290" t="inlineStr">
        <is>
          <t>- Đánh giá: Lỗi lọt UAT, Production được xác định thuộc trách nhiệm kiểm thử; mức độ bao phủ kiểm thử.
- Không đánh giá: Lỗi phát sinh do thay đổi yêu cầu sau khi kiểm thử; lỗi chưa có tài liệu nghiệp vụ; lỗi phát sinh do môi trường hoặc dữ liệu không ổn định.</t>
        </is>
      </c>
      <c r="F27" s="112" t="inlineStr">
        <is>
          <t>Số lỗi lọt sang UAT/Production được xác định thuộc trách nhiệm kiểm thử</t>
        </is>
      </c>
      <c r="G27" s="81" t="inlineStr">
        <is>
          <t>10: 0 lỗi
9: 1 lỗi
8: 2 lỗi
7: 3 lỗi
5: ≥4 lỗi</t>
        </is>
      </c>
    </row>
    <row r="28" ht="244.5" customHeight="1">
      <c r="A28" s="64" t="n">
        <v>2.2</v>
      </c>
      <c r="B28" s="120" t="inlineStr">
        <is>
          <t>Chất lượng Test Case &amp; Bug Report</t>
        </is>
      </c>
      <c r="C28" s="64" t="n"/>
      <c r="D28" s="81" t="inlineStr">
        <is>
          <t>Đánh giá chất lượng tài liệu kiểm thử và báo cáo lỗi, đảm bảo rõ ràng, đầy đủ và dễ tái sử dụng.</t>
        </is>
      </c>
      <c r="E28" s="290" t="inlineStr">
        <is>
          <t>- Đánh giá: Nội dung Test Case, Bug Report, điều kiện kiểm thử, bước thực hiện, kết quả mong đợi, mức độ đầy đủ thông tin.
- Không đánh giá: Khả năng viết văn; định dạng trình bày không ảnh hưởng đến việc sử dụng; lỗi chính tả nhỏ không làm thay đổi nội dung.</t>
        </is>
      </c>
      <c r="F28" s="112" t="inlineStr">
        <is>
          <t>Leader review theo checklist chuẩn về Test Case và Bug Report</t>
        </is>
      </c>
      <c r="G28" s="83" t="inlineStr">
        <is>
          <t xml:space="preserve">Checklist gồm 5 tiêu chí:
Bao phủ nghiệp vụ.
Bao phủ ngoại lệ.
Điều kiện đầu vào rõ ràng.
Kết quả mong đợi rõ ràng.
Trình bày đúng chuẩn.
| Kết quả            |   Điểm |
| Đạt 5/5 tiêu chí   | 10 |
| Đạt 4/5 tiêu chí   |  9 |
| Đạt 3/5 tiêu chí   |  8 |
| Đạt 2/5 tiêu chí   |  7 |
| Đạt 0–1/5 tiêu chí |  5 |
</t>
        </is>
      </c>
    </row>
    <row r="29" ht="260.25" customHeight="1">
      <c r="A29" s="64" t="n">
        <v>2.3</v>
      </c>
      <c r="B29" s="120" t="inlineStr">
        <is>
          <t>Chất lượng tài liệu &amp; Chuyển giao</t>
        </is>
      </c>
      <c r="C29" s="64" t="n"/>
      <c r="D29" s="81" t="inlineStr">
        <is>
          <t>Đánh giá chất lượng tài liệu bàn giao và khả năng giúp Operation tiếp nhận công việc thuận lợi.</t>
        </is>
      </c>
      <c r="E29" s="290" t="inlineStr">
        <is>
          <t>- Đánh giá: Test Case, tài liệu hướng dẫn, Release Note, hướng dẫn vận hành, kết quả bàn giao.
- Không đánh giá: Công việc không yêu cầu bàn giao; thay đổi phát sinh sau khi đã bàn giao và được phê duyệt.</t>
        </is>
      </c>
      <c r="F29" s="112" t="inlineStr">
        <is>
          <t>Đánh giá mức độ đầy đủ, chính xác của tài liệu và hiệu quả chuyển giao cho Operation</t>
        </is>
      </c>
      <c r="G29" s="83" t="inlineStr">
        <is>
          <t xml:space="preserve">Tiêu chí:
Test Case đầy đủ	
Release Note đầy đủ	
Hướng dẫn rõ ràng	
Operation tiếp nhận được ngay	
Không phát sinh lỗi do thiếu tài liệu
| Kết quả | Điểm KPI |
| 10 điểm |   10 |
| 8 điểm  |    9|
| 6 điểm  |    8 |
| 4 điểm  |    7 |
| ≤2 điểm |    5 |
</t>
        </is>
      </c>
    </row>
    <row r="30" ht="40.5" customHeight="1">
      <c r="A30" s="86" t="n">
        <v>3</v>
      </c>
      <c r="B30" s="119" t="inlineStr">
        <is>
          <t>Cải tiến &amp; Phát triển: 10%</t>
        </is>
      </c>
      <c r="C30" s="286" t="inlineStr">
        <is>
          <t>= 50% x Đóng góp cải tiến + 50% x Tham gia phát triển sản phẩm</t>
        </is>
      </c>
      <c r="D30" s="121" t="n"/>
      <c r="E30" s="79" t="n"/>
      <c r="F30" s="109" t="n"/>
      <c r="G30" s="79" t="n"/>
    </row>
    <row r="31" ht="211.5" customHeight="1">
      <c r="A31" s="64" t="n">
        <v>3.1</v>
      </c>
      <c r="B31" s="120" t="inlineStr">
        <is>
          <t>Đóng góp cải tiến</t>
        </is>
      </c>
      <c r="C31" s="64" t="n"/>
      <c r="D31" s="81" t="inlineStr">
        <is>
          <t>Đánh giá mức độ chủ động cải tiến quy trình, công cụ hoặc cách thức làm việc nhằm nâng cao hiệu quả chung.</t>
        </is>
      </c>
      <c r="E31" s="290" t="inlineStr">
        <is>
          <t>- Đánh giá: Đề xuất cải tiến, cải tiến Test Case, template, checklist, công cụ hỗ trợ, quy trình kiểm thử.
- Không đánh giá: Ý tưởng chưa có cơ sở hoặc không thuộc phạm vi công việc; đề xuất trùng lặp nhưng không có giá trị bổ sung.</t>
        </is>
      </c>
      <c r="F31" s="112" t="inlineStr">
        <is>
          <t>Đánh giá việc tham gia cải tiến quy trình, công cụ hoặc đề xuất sáng kiến trong tháng</t>
        </is>
      </c>
      <c r="G31" s="83" t="inlineStr">
        <is>
          <t xml:space="preserve">Điểm --- Kết quả
10 --- Có cải tiến được áp dụng hoặc được Leader ghi nhận mang lại hiệu quả rõ ràng
9 ---Hoàn thành đầy đủ nhiệm vụ cải tiến được giao 
8 ---  Có đề xuất hợp lý nhưng chưa triển khai  
7 ---- Có tham gia nhưng đóng góp hạn chế           
5 ---- Không tham gia                                             
</t>
        </is>
      </c>
    </row>
    <row r="32" ht="137.25" customHeight="1">
      <c r="A32" s="64" t="n">
        <v>3.2</v>
      </c>
      <c r="B32" s="120" t="inlineStr">
        <is>
          <t>Tham gia phát triển sản phẩm</t>
        </is>
      </c>
      <c r="C32" s="64" t="n"/>
      <c r="D32" s="81" t="inlineStr">
        <is>
          <t>Đánh giá việc tham gia các hoạt động phát triển sản phẩm ngoài nhiệm vụ kiểm thử theo phân công.</t>
        </is>
      </c>
      <c r="E32" s="290" t="inlineStr">
        <is>
          <t>- Đánh giá: Tham gia phân tích nghiệp vụ, review tài liệu, hỗ trợ BA/Dev, nghiên cứu tính năng, hỗ trợ triển khai.
- Không đánh giá: Công việc ngoài phạm vi được phân công; nhiệm vụ không thuộc kế hoạch của phòng.</t>
        </is>
      </c>
      <c r="F32" s="112" t="inlineStr">
        <is>
          <t>Hoàn thành các nhiệm vụ hỗ trợ BA/Dev/PM theo phân công.
Tỷ lệ hoàn thành nhiệm vụ phát triển = (Số nhiệm vụ hoàn thành đúng yêu cầu / Tổng nhiệm vụ được giao) ×100%</t>
        </is>
      </c>
      <c r="G32" s="81" t="inlineStr">
        <is>
          <t xml:space="preserve">| Kết quả |   Điểm |
| ≥100%   | 10 |
| 95–99%  |  9 |
| 90–94%  |  8 |
| 80–89%  |  7 |
| &lt;80%    |  5 |
</t>
        </is>
      </c>
    </row>
    <row r="33" ht="43.5" customHeight="1">
      <c r="A33" s="86" t="n">
        <v>4</v>
      </c>
      <c r="B33" s="119" t="inlineStr">
        <is>
          <t>Tuân thủ quy trình &amp; Phối hợp: 10%</t>
        </is>
      </c>
      <c r="C33" s="286" t="inlineStr">
        <is>
          <t>= 50% x Tuân thủ quy trình + 50% x Phối hợp làm việc</t>
        </is>
      </c>
      <c r="D33" s="79" t="n"/>
      <c r="E33" s="79" t="n"/>
      <c r="F33" s="109" t="n"/>
      <c r="G33" s="79" t="n"/>
    </row>
    <row r="34" ht="270" customHeight="1">
      <c r="A34" s="64" t="n">
        <v>4.1</v>
      </c>
      <c r="B34" s="120" t="inlineStr">
        <is>
          <t>Tuân thủ quy trình</t>
        </is>
      </c>
      <c r="C34" s="64" t="n"/>
      <c r="D34" s="82" t="inlineStr">
        <is>
          <t>Đánh giá việc thực hiện đúng các quy trình, quy định và tiêu chuẩn kiểm thử của công ty.</t>
        </is>
      </c>
      <c r="E34" s="290" t="inlineStr">
        <is>
          <t>- Đánh giá: Quy trình kiểm thử, quy trình Release, quy định quản lý tài liệu, quy định báo cáo.
- Không đánh giá: Nội dung đã được Leader chấp thuận ngoại lệ; thay đổi quy trình chưa được ban hành chính thức.</t>
        </is>
      </c>
      <c r="F34" s="112" t="inlineStr">
        <is>
          <t>Tuân thủ quy trình kiểm thử, release và quy định nội bộ</t>
        </is>
      </c>
      <c r="G34" s="83" t="inlineStr">
        <is>
          <t xml:space="preserve">Rubric gồm:
Thực hiện đúng quy trình kiểm thử
Cập nhật Jira đầy đủ và đúng thời điểm	
Quản lý Test Case đúng quy định	
Lưu trữ tài liệu đúng quy định	
Tuân thủ quy trình Release/Bàn giao
| Kết quả   |   Điểm |
| Đạt 5/5   | 10|
| Đạt 4/5   |  9 |
| Đạt 3/5   |  8 |
| Đạt 2/5   |  7 |
| Đạt 0–1/5 |  5 |
</t>
        </is>
      </c>
    </row>
    <row r="35" ht="247.5" customHeight="1">
      <c r="A35" s="64" t="n">
        <v>4.2</v>
      </c>
      <c r="B35" s="120" t="inlineStr">
        <is>
          <t>Phối hợp làm việc</t>
        </is>
      </c>
      <c r="C35" s="64" t="n"/>
      <c r="D35" s="82" t="inlineStr">
        <is>
          <t>Đánh giá khả năng phối hợp với BA, Developer, Operation và các bộ phận liên quan trong quá trình thực hiện công việc.</t>
        </is>
      </c>
      <c r="E35" s="290" t="inlineStr">
        <is>
          <t>- Đánh giá: Chủ động trao đổi, phản hồi, phối hợp xử lý công việc, hỗ trợ đồng đội, tinh thần hợp tác.
- Không đánh giá: Năng lực chuyên môn của bộ phận khác; kết quả cuối cùng của dự án nếu không thuộc trách nhiệm của Tester; yếu tố cá nhân không ảnh hưởng đến công việc.</t>
        </is>
      </c>
      <c r="F35" s="112" t="inlineStr">
        <is>
          <t>Leader đánh giá theo rubric về phối hợp với BA, Dev, Operation và các bên liên quan</t>
        </is>
      </c>
      <c r="G35" s="83" t="inlineStr">
        <is>
          <t xml:space="preserve">Rubric gồm:
Chủ động.
Giao tiếp.
Hợp tác với BA.
Hợp tác với Dev.
Hợp tác với Operation.
| Kết quả               |   Điểm |
| Đạt đầy đủ 5 tiêu chí | 10 |
| Đạt 4 tiêu chí        |  9 |
| Đạt 3 tiêu chí        |  8 |
| Đạt 2 tiêu chí        |  7 |
| Đạt 0–1 tiêu chí     |  5 |
</t>
        </is>
      </c>
    </row>
  </sheetData>
  <mergeCells count="3">
    <mergeCell ref="B18:C18"/>
    <mergeCell ref="B1:C1"/>
    <mergeCell ref="B8:C8"/>
  </mergeCells>
  <pageMargins left="0.7" right="0.7" top="0.75" bottom="0.75" header="0.3" footer="0.3"/>
</worksheet>
</file>

<file path=xl/worksheets/sheet6.xml><?xml version="1.0" encoding="utf-8"?>
<worksheet xmlns="http://schemas.openxmlformats.org/spreadsheetml/2006/main">
  <sheetPr>
    <tabColor rgb="FFFFC000"/>
    <outlinePr summaryBelow="1" summaryRight="1"/>
    <pageSetUpPr/>
  </sheetPr>
  <dimension ref="A1:J54"/>
  <sheetViews>
    <sheetView workbookViewId="0">
      <pane ySplit="1" topLeftCell="B20" activePane="bottomLeft" state="frozen"/>
      <selection activeCell="A1" sqref="A1"/>
      <selection pane="bottomLeft" activeCell="D12" sqref="D12"/>
    </sheetView>
  </sheetViews>
  <sheetFormatPr baseColWidth="8" defaultColWidth="9" defaultRowHeight="15.75"/>
  <cols>
    <col width="9.142857142857141" customWidth="1" style="58" min="1" max="1"/>
    <col width="66.8571428571429" customWidth="1" style="59" min="2" max="3"/>
    <col width="53.7142857142857" customWidth="1" style="60" min="4" max="4"/>
    <col width="38.1428571428571" customWidth="1" style="58" min="5" max="5"/>
    <col width="29.7142857142857" customWidth="1" style="58" min="6" max="6"/>
    <col width="44.7142857142857" customWidth="1" style="58" min="7" max="7"/>
    <col width="48.2857142857143" customWidth="1" style="59" min="8" max="8"/>
    <col width="125.428571428571" customWidth="1" style="59" min="9" max="9"/>
    <col width="91.5714285714286" customWidth="1" style="59" min="10" max="10"/>
    <col width="27" customWidth="1" style="59" min="11" max="11"/>
    <col width="42.1428571428571" customWidth="1" style="59" min="12" max="12"/>
    <col width="76.5714285714286" customWidth="1" style="59" min="13" max="13"/>
    <col width="9.142857142857141" customWidth="1" style="59" min="14" max="16384"/>
  </cols>
  <sheetData>
    <row r="1">
      <c r="B1" s="61" t="inlineStr">
        <is>
          <t>BẢNG MÃ CÔNG VIỆC THEO BÁO CÁO CÔNG VIỆC CỦA NHÂN SỰ</t>
        </is>
      </c>
      <c r="C1" s="62" t="n"/>
    </row>
    <row r="2">
      <c r="B2" s="63" t="inlineStr">
        <is>
          <t>Mã</t>
        </is>
      </c>
      <c r="C2" s="63" t="inlineStr">
        <is>
          <t>Nhóm công việc</t>
        </is>
      </c>
      <c r="D2" s="63" t="inlineStr">
        <is>
          <t>Nội dung công việc</t>
        </is>
      </c>
      <c r="E2" s="64" t="n"/>
      <c r="F2" s="64" t="n"/>
      <c r="G2" s="64" t="n"/>
    </row>
    <row r="3">
      <c r="B3" s="63" t="inlineStr">
        <is>
          <t>OP01</t>
        </is>
      </c>
      <c r="C3" s="65" t="inlineStr">
        <is>
          <t>Vận hành hệ thống học/thi trực tuyến</t>
        </is>
      </c>
      <c r="D3" s="65" t="inlineStr">
        <is>
          <t>Hỗ trợ CS xử lý các case nghiệp vụ, kiểm tra điều kiện dữ liệu, xử lý logic hệ thống, vận hành V2/V5/V6.</t>
        </is>
      </c>
      <c r="E3" s="64" t="n"/>
      <c r="F3" s="64" t="n"/>
      <c r="G3" s="64" t="n"/>
    </row>
    <row r="4">
      <c r="B4" s="63" t="inlineStr">
        <is>
          <t>OP02</t>
        </is>
      </c>
      <c r="C4" s="65" t="inlineStr">
        <is>
          <t>Quản trị và đảm bảo hệ thống</t>
        </is>
      </c>
      <c r="D4" s="65" t="inlineStr">
        <is>
          <t>Kiểm tra hoạt động hệ thống, backup, monitoring, lưu trữ dữ liệu, kiểm tra trạng thái dịch vụ.</t>
        </is>
      </c>
      <c r="E4" s="64" t="n"/>
      <c r="F4" s="64" t="n"/>
      <c r="G4" s="64" t="n"/>
    </row>
    <row r="5">
      <c r="B5" s="63" t="inlineStr">
        <is>
          <t>OP03</t>
        </is>
      </c>
      <c r="C5" s="65" t="inlineStr">
        <is>
          <t>Tham gia sản xuất phần mềm</t>
        </is>
      </c>
      <c r="D5" s="65" t="inlineStr">
        <is>
          <t>Thu thập yêu cầu, theo dõi tiến độ, kiểm thử, nghiệm thu, tài liệu hóa, hướng dẫn sử dụng, chuyển giao tính năng.</t>
        </is>
      </c>
      <c r="E5" s="64" t="n"/>
      <c r="F5" s="64" t="n"/>
      <c r="G5" s="64" t="n"/>
    </row>
    <row r="6">
      <c r="B6" s="63" t="inlineStr">
        <is>
          <t>OP04</t>
        </is>
      </c>
      <c r="C6" s="65" t="inlineStr">
        <is>
          <t>Quản trị tài khoản nội bộ</t>
        </is>
      </c>
      <c r="D6" s="65" t="inlineStr">
        <is>
          <t>Cấp phát, thu hồi, phân quyền tài khoản hệ thống, Email, VPN, User nội bộ.</t>
        </is>
      </c>
      <c r="E6" s="64" t="n"/>
      <c r="F6" s="64" t="n"/>
      <c r="G6" s="64" t="n"/>
    </row>
    <row r="7">
      <c r="B7" s="63" t="inlineStr">
        <is>
          <t>OP05</t>
        </is>
      </c>
      <c r="C7" s="65" t="inlineStr">
        <is>
          <t>Tổ chức và vận hành sự kiện</t>
        </is>
      </c>
      <c r="D7" s="65" t="inlineStr">
        <is>
          <t>Tham gia điều hành các kỳ thi online/offline, chuẩn bị hệ thống, hỗ trợ vận hành trong quá trình diễn ra sự kiện.</t>
        </is>
      </c>
      <c r="E7" s="64" t="n"/>
      <c r="F7" s="64" t="n"/>
      <c r="G7" s="64" t="n"/>
    </row>
    <row r="8">
      <c r="B8" s="66" t="n"/>
    </row>
    <row r="9">
      <c r="B9" s="67" t="inlineStr">
        <is>
          <t>BẢNG MAPPING CÔNG VIỆC NHÂN SỰ THỰC HIỆN ĐƯỢC ĐÁNH GIÁ TRONG CHỈ TIÊU KPI</t>
        </is>
      </c>
    </row>
    <row r="10">
      <c r="B10" s="63" t="inlineStr">
        <is>
          <t>Tiêu chí</t>
        </is>
      </c>
      <c r="C10" s="63" t="inlineStr">
        <is>
          <t>Tỷ trọng (Max 75%)</t>
        </is>
      </c>
      <c r="D10" s="63" t="inlineStr">
        <is>
          <t>Mô tả</t>
        </is>
      </c>
      <c r="E10" s="63" t="inlineStr">
        <is>
          <t>Đối tượng áp dụng</t>
        </is>
      </c>
      <c r="F10" s="63" t="inlineStr">
        <is>
          <t>Mapping đầu việc (JD)</t>
        </is>
      </c>
      <c r="G10" s="59" t="n"/>
    </row>
    <row r="11">
      <c r="B11" s="63" t="inlineStr">
        <is>
          <t>Operational Delivery (Hiệu quả thực hiện công việc)</t>
        </is>
      </c>
      <c r="C11" s="68" t="n">
        <v>0.1</v>
      </c>
      <c r="D11" s="65" t="inlineStr">
        <is>
          <t>Đánh giá mức độ hoàn thành các công việc được giao đúng phạm vi, đúng tiến độ và đúng cam kết. KPI này tập trung vào khả năng hoàn thành công việc, không đánh giá chất lượng nghiệp vụ hay khả năng phối hợp.</t>
        </is>
      </c>
      <c r="E11" s="65" t="inlineStr">
        <is>
          <t>Toàn bộ Chuyên viên Operator</t>
        </is>
      </c>
      <c r="F11" s="63" t="inlineStr">
        <is>
          <t>OP01 – Xử lý các công việc vận hành hệ thống học/thi trực tuyến.OP03 – Tham gia sản xuất phần mềm (thu thập yêu cầu, theo dõi tiến độ, kiểm thử, hướng dẫn sử dụng...).OP04 – Cấp phát, thu hồi tài khoản nội bộ.OP05 – Thực hiện các đầu việc trong tổ chức kỳ thi/sự kiện.</t>
        </is>
      </c>
      <c r="G11" s="59" t="n"/>
    </row>
    <row r="12">
      <c r="B12" s="63" t="inlineStr">
        <is>
          <t>System Reliability (Đảm bảo hệ thống vận hành ổn định)</t>
        </is>
      </c>
      <c r="C12" s="68" t="n">
        <v>0.2</v>
      </c>
      <c r="D12" s="65" t="inlineStr">
        <is>
          <t>Đánh giá khả năng duy trì hệ thống hoạt động ổn định, an toàn và liên tục; chủ động giám sát, phát hiện và xử lý các sự cố trong phạm vi trách nhiệm.</t>
        </is>
      </c>
      <c r="E12" s="65" t="inlineStr">
        <is>
          <t>Toàn bộ Chuyên viên Operator</t>
        </is>
      </c>
      <c r="F12" s="63" t="inlineStr">
        <is>
          <t>OP01 – Kiểm tra hoạt động của hệ thống, xử lý các case vận hành.OP02 – Backup, monitoring, kiểm tra hệ thống, lưu trữ dữ liệu.OP04 – Quản trị tài khoản nội bộ (User, Email, VPN...).OP05 – Đảm bảo hệ thống sẵn sàng trước, trong và sau các kỳ thi/sự kiện.</t>
        </is>
      </c>
      <c r="G12" s="59" t="n"/>
    </row>
    <row r="13">
      <c r="B13" s="63" t="inlineStr">
        <is>
          <t>Business Knowledge &amp; Capability (Năng lực nghiệp vụ)</t>
        </is>
      </c>
      <c r="C13" s="68" t="n">
        <v>0.1</v>
      </c>
      <c r="D13" s="65" t="inlineStr">
        <is>
          <t>Đánh giá mức độ hiểu biết nghiệp vụ, khả năng vận dụng kiến thức vào công việc thực tế, chuyển giao kiến thức và phân tích giải pháp khi hệ thống thay đổi.</t>
        </is>
      </c>
      <c r="E13" s="65" t="inlineStr">
        <is>
          <t>Toàn bộ Chuyên viên Operator</t>
        </is>
      </c>
      <c r="F13" s="63" t="inlineStr">
        <is>
          <t>OP01 – Hiểu logic nghiệp vụ để hỗ trợ xử lý case.OP03 – Kiểm thử, nghiệm thu, tài liệu hóa, hướng dẫn sử dụng, chuyển giao tính năng mới.</t>
        </is>
      </c>
      <c r="G13" s="59" t="n"/>
    </row>
    <row r="14">
      <c r="B14" s="63" t="inlineStr">
        <is>
          <t>Service &amp; Collaboration (Hỗ trợ và phối hợp)</t>
        </is>
      </c>
      <c r="C14" s="68" t="n">
        <v>0.15</v>
      </c>
      <c r="D14" s="65" t="inlineStr">
        <is>
          <t>Đánh giá tinh thần phục vụ, khả năng phối hợp và hiệu quả hỗ trợ các phòng ban trong quá trình vận hành hệ thống và triển khai công việc.</t>
        </is>
      </c>
      <c r="E14" s="65" t="inlineStr">
        <is>
          <t>Toàn bộ Chuyên viên Operator</t>
        </is>
      </c>
      <c r="F14" s="63" t="inlineStr">
        <is>
          <t>OP01 – Hỗ trợ CS xử lý các case vượt FAQ.OP03 – Phối hợp BA, Dev, QA trong phát triển phần mềm.OP05 – Phối hợp tổ chức các kỳ thi và sự kiện.</t>
        </is>
      </c>
      <c r="G14" s="59" t="n"/>
    </row>
    <row r="15">
      <c r="B15" s="63" t="inlineStr">
        <is>
          <t>Continuous Improvement (Cải tiến và phát triển)</t>
        </is>
      </c>
      <c r="C15" s="68" t="n">
        <v>0.2</v>
      </c>
      <c r="D15" s="65" t="inlineStr">
        <is>
          <t>Đánh giá khả năng chuẩn hóa tài liệu, quy trình, chia sẻ tri thức và đề xuất các sáng kiến nhằm nâng cao hiệu quả vận hành, chất lượng sản phẩm và hiệu suất làm việc.</t>
        </is>
      </c>
      <c r="E15" s="65" t="inlineStr">
        <is>
          <t>Toàn bộ Chuyên viên Operator</t>
        </is>
      </c>
      <c r="F15" s="63" t="inlineStr">
        <is>
          <t>OP01 – Chuẩn hóa nghiệp vụ vận hành.OP02 – Chuẩn hóa quy trình vận hành hệ thống.OP03 – Viết tài liệu, SOP, đề xuất cải tiến quy trình hoặc tính năng.</t>
        </is>
      </c>
      <c r="G15" s="59" t="n"/>
    </row>
    <row r="16">
      <c r="B16" s="66" t="n"/>
    </row>
    <row r="17">
      <c r="B17" s="61" t="inlineStr">
        <is>
          <t>BẢNG KPI CHI TIẾT</t>
        </is>
      </c>
      <c r="C17" s="62" t="n"/>
    </row>
    <row r="18" ht="38.25" customHeight="1">
      <c r="A18" s="69" t="inlineStr">
        <is>
          <t>STT</t>
        </is>
      </c>
      <c r="B18" s="69" t="inlineStr">
        <is>
          <t>Tiêu chí</t>
        </is>
      </c>
      <c r="C18" s="69" t="n"/>
      <c r="D18" s="69" t="inlineStr">
        <is>
          <t>Mô tả</t>
        </is>
      </c>
      <c r="E18" s="69" t="inlineStr">
        <is>
          <t>Phạm vi đánh giá</t>
        </is>
      </c>
      <c r="F18" s="69" t="inlineStr">
        <is>
          <t>Phương pháp đánh giá</t>
        </is>
      </c>
      <c r="G18" s="70" t="inlineStr">
        <is>
          <t>Minh chứng</t>
        </is>
      </c>
      <c r="H18" s="70" t="inlineStr">
        <is>
          <t>Cách tính</t>
        </is>
      </c>
      <c r="I18" s="70" t="inlineStr">
        <is>
          <t>Thang điểm 10</t>
        </is>
      </c>
    </row>
    <row r="19" ht="38.25" customHeight="1">
      <c r="A19" s="69" t="n"/>
      <c r="B19" s="69" t="n"/>
      <c r="C19" s="69" t="n"/>
      <c r="D19" s="69" t="n"/>
      <c r="E19" s="69" t="n"/>
      <c r="F19" s="69" t="n"/>
      <c r="G19" s="70" t="n"/>
      <c r="H19" s="70" t="n"/>
      <c r="I19" s="70" t="n"/>
    </row>
    <row r="20" ht="70.5" customHeight="1">
      <c r="A20" s="71" t="inlineStr">
        <is>
          <t>A</t>
        </is>
      </c>
      <c r="B20" s="72" t="inlineStr">
        <is>
          <t>Hiệu quả công việc: Max 75%</t>
        </is>
      </c>
      <c r="C20" s="292" t="inlineStr">
        <is>
          <t>= 10% x Operational Delivery+ 20% x System Reliability + 10% x Business Knowledge &amp; Capability + 15% x Service &amp; Collaboration + 20% x Continuous Improvement</t>
        </is>
      </c>
      <c r="D20" s="72" t="n"/>
      <c r="E20" s="72" t="n"/>
      <c r="F20" s="73" t="n"/>
      <c r="G20" s="72" t="n"/>
      <c r="H20" s="72" t="n"/>
      <c r="I20" s="72" t="n"/>
    </row>
    <row r="21" ht="175.5" customHeight="1">
      <c r="A21" s="74" t="n">
        <v>1</v>
      </c>
      <c r="B21" s="75" t="inlineStr">
        <is>
          <t>Operational Delivery (Hiệu quả thực hiện công việc): 10%</t>
        </is>
      </c>
      <c r="C21" s="293" t="inlineStr">
        <is>
          <t>= 40% x Hoàn thành công việc đúng tiến độ + 20% x Hoàn thành Checklist vận hành + 25% x Hoàn thành công việc phát sinh + 15% x Phản hồi yêu cầu hỗ trợ</t>
        </is>
      </c>
      <c r="D21" s="77" t="inlineStr">
        <is>
          <t>Đánh giá mức độ "làm được việc" của một Operator.
Đánh giá mức độ hoàn thành các nhiệm vụ vận hành được giao đúng phạm vi, đúng thời hạn và đáp ứng yêu cầu công việc; không đánh giá chất lượng công việc, năng lực nghiệp vụ hay tinh thần phối hợp (được đánh giá tại các nhóm KPI khác).</t>
        </is>
      </c>
      <c r="E21" s="77" t="n"/>
      <c r="F21" s="78" t="n"/>
      <c r="G21" s="78" t="n"/>
      <c r="H21" s="79" t="n"/>
      <c r="I21" s="80" t="n"/>
    </row>
    <row r="22" ht="161.25" customHeight="1">
      <c r="A22" s="64" t="n">
        <v>1.1</v>
      </c>
      <c r="B22" s="81" t="inlineStr">
        <is>
          <t>Hoàn thành công việc đúng tiến độ - 40%</t>
        </is>
      </c>
      <c r="C22" s="81" t="n"/>
      <c r="D22" s="82" t="inlineStr">
        <is>
          <t xml:space="preserve">Đảm bảo hoàn thành các công việc được giao đúng thời hạn.
</t>
        </is>
      </c>
      <c r="E22" s="82" t="inlineStr">
        <is>
          <t>Đánh giá: Công việc hoàn thành đúng deadline đã thống nhất.
Không đánh giá: Chậm do thay đổi yêu cầu hoặc phụ thuộc phòng ban khác được quản lý xác nhận.</t>
        </is>
      </c>
      <c r="F22" s="81" t="inlineStr">
        <is>
          <t xml:space="preserve">(Số công việc đúng hạn / Tổng công việc) × 100% </t>
        </is>
      </c>
      <c r="G22" s="81" t="inlineStr">
        <is>
          <t>Kế hoạch công việc</t>
        </is>
      </c>
      <c r="H22" s="81" t="inlineStr">
        <is>
          <t>Định lượng</t>
        </is>
      </c>
      <c r="I22" s="83" t="inlineStr">
        <is>
          <t xml:space="preserve">| % hoàn thành   |   Điểm 
| 95% - 100% |  10 |
| 90% - &lt;95% |   9 |
| 80% - &lt;90%  |  8 | 
| 70% - &lt;80% |  6 |
| &lt;70%      |  5 | 
</t>
        </is>
      </c>
    </row>
    <row r="23" ht="129" customHeight="1">
      <c r="A23" s="64" t="n">
        <v>1.2</v>
      </c>
      <c r="B23" s="81" t="inlineStr">
        <is>
          <t xml:space="preserve">Hoàn thành Checklist vận hành - 20% </t>
        </is>
      </c>
      <c r="C23" s="81" t="n"/>
      <c r="D23" s="82" t="inlineStr">
        <is>
          <t>Thực hiện đầy đủ các checklist vận hành theo quy định</t>
        </is>
      </c>
      <c r="E23" s="82" t="inlineStr">
        <is>
          <t>Đánh giá: Checklist ngày/tuần/tháng.
Không đánh giá: Checklist được quản lý hủy bỏ.</t>
        </is>
      </c>
      <c r="F23" s="81" t="inlineStr">
        <is>
          <t>(Checklist hoàn thành / Checklist yêu cầu) ×100%</t>
        </is>
      </c>
      <c r="G23" s="81" t="inlineStr">
        <is>
          <t>Checklist vận hành</t>
        </is>
      </c>
      <c r="H23" s="81" t="inlineStr">
        <is>
          <t>Định lượng</t>
        </is>
      </c>
      <c r="I23" s="83" t="inlineStr">
        <is>
          <t xml:space="preserve">| % hoàn thành   |   Điểm 
| 95% - 100% |  10 |
| 90% - &lt;95% |   9 |
| 80% - &lt;90%  |  8 | 
| 70% - &lt;80% |  6 |
| &lt;70%      |  5 | 
</t>
        </is>
      </c>
    </row>
    <row r="24" ht="141" customHeight="1">
      <c r="A24" s="64" t="n">
        <v>1.3</v>
      </c>
      <c r="B24" s="81" t="inlineStr">
        <is>
          <t>Hoàn thành công việc phát sinh - 25%</t>
        </is>
      </c>
      <c r="C24" s="81" t="n"/>
      <c r="D24" s="82" t="inlineStr">
        <is>
          <t>Xử lý các công việc ngoài kế hoạch được giao</t>
        </is>
      </c>
      <c r="E24" s="82" t="inlineStr">
        <is>
          <t>Đánh giá: Công việc được quản lý giao chính thức. Không đánh giá: Công việc ngoài phạm vi Operator.</t>
        </is>
      </c>
      <c r="F24" s="81" t="inlineStr">
        <is>
          <t xml:space="preserve">(Công việc hoàn thành / Công việc được giao) ×100% </t>
        </is>
      </c>
      <c r="G24" s="81" t="inlineStr">
        <is>
          <t>Báo cáo công việc</t>
        </is>
      </c>
      <c r="H24" s="81" t="inlineStr">
        <is>
          <t>Định lượng</t>
        </is>
      </c>
      <c r="I24" s="83" t="inlineStr">
        <is>
          <t xml:space="preserve">| % hoàn thành   |   Điểm 
| 95% - 100% |  10 |
| 90% - &lt;95% |   9 |
| 80% - &lt;90%  |  8 | 
| 70% - &lt;80% |  6 |
| &lt;70%      |  5 | 
</t>
        </is>
      </c>
    </row>
    <row r="25" ht="183" customHeight="1">
      <c r="A25" s="64" t="n">
        <v>1.4</v>
      </c>
      <c r="B25" s="81" t="inlineStr">
        <is>
          <t>Phản hồi yêu cầu hỗ trợ - 15%</t>
        </is>
      </c>
      <c r="C25" s="81" t="n"/>
      <c r="D25" s="82" t="inlineStr">
        <is>
          <t>Chủ động phản hồi các yêu cầu hỗ trợ từ các phòng ban</t>
        </is>
      </c>
      <c r="E25" s="82" t="inlineStr">
        <is>
          <t>Đánh giá: Lịch sử trao đổi và xác nhận của quản lý.
Không đánh giá: Chờ phản hồi từ phòng ban khác.</t>
        </is>
      </c>
      <c r="F25" s="81" t="inlineStr">
        <is>
          <t>Rubric về Kết quả công việc (Delivery/Execution)</t>
        </is>
      </c>
      <c r="G25" s="81" t="inlineStr">
        <is>
          <t>Chat, Email, Biên bản</t>
        </is>
      </c>
      <c r="H25" s="81" t="inlineStr">
        <is>
          <t>Định tính</t>
        </is>
      </c>
      <c r="I25" s="81" t="inlineStr">
        <is>
          <t xml:space="preserve">|   Điểm  | Mô tả      
| 10 | Luôn hoàn thành đầy đủ công việc đúng tiến độ, chủ động nhận việc và không để tồn đọng; chất lượng ổn định, hầu như không cần nhắc nhở.
|  9 | Hoàn thành đầy đủ hầu hết công việc, chỉ có rất ít trường hợp chậm tiến độ hoặc cần nhắc nhở.  
|  8 | Hoàn thành phần lớn công việc theo yêu cầu; đôi khi cần hỗ trợ hoặc nhắc nhở nhưng không ảnh hưởng đến kết quả chung.  
|  6 | Thường xuyên chậm tiến độ, còn để tồn đọng hoặc cần theo dõi sát để hoàn thành công việc.     
|  &lt;5 | Không hoàn thành nhiệm vụ được giao hoặc ảnh hưởng nghiêm trọng đến tiến độ, kết quả chung.   
</t>
        </is>
      </c>
    </row>
    <row r="26" ht="51" customHeight="1">
      <c r="A26" s="74" t="n">
        <v>2</v>
      </c>
      <c r="B26" s="75" t="inlineStr">
        <is>
          <t>System Reliability (Đảm bảo hệ thống vận hành ổn định): 20%</t>
        </is>
      </c>
      <c r="C26" s="293" t="inlineStr">
        <is>
          <t>= 30% x Kiểm tra hệ thống định kỳ + 25% x Tuân thủ quy trình + 20% x  Giám sát hệ thống + 25% x  Xử lý sự cố (Incident)</t>
        </is>
      </c>
      <c r="D26" s="77" t="n"/>
      <c r="E26" s="77" t="n"/>
      <c r="F26" s="78" t="n"/>
      <c r="G26" s="78" t="n"/>
      <c r="H26" s="79" t="n"/>
      <c r="I26" s="79" t="n"/>
    </row>
    <row r="27" ht="144" customHeight="1">
      <c r="A27" s="64" t="n">
        <v>2.1</v>
      </c>
      <c r="B27" s="81" t="inlineStr">
        <is>
          <t>Kiểm tra hệ thống định kỳ</t>
        </is>
      </c>
      <c r="C27" s="81" t="n"/>
      <c r="D27" s="81" t="inlineStr">
        <is>
          <t>Thực hiện đầy đủ các hoạt động kiểm tra theo kế hoạch.</t>
        </is>
      </c>
      <c r="E27" s="84" t="inlineStr">
        <is>
          <t>Theo kế hoạch vận hành</t>
        </is>
      </c>
      <c r="F27" s="81" t="inlineStr">
        <is>
          <t xml:space="preserve">(Checklist hoàn thành / Checklist yêu cầu) ×100% </t>
        </is>
      </c>
      <c r="G27" s="84" t="inlineStr">
        <is>
          <t>Checklist vận hành</t>
        </is>
      </c>
      <c r="H27" s="81" t="inlineStr">
        <is>
          <t>Định lượng</t>
        </is>
      </c>
      <c r="I27" s="83" t="inlineStr">
        <is>
          <t xml:space="preserve">| % hoàn thành   |   Điểm 
| 95% - 100% |  10 |
| 90% - &lt;95% |   9 |
| 80% - &lt;90%  |  8 | 
| 70% - &lt;80% |  6 |
| &lt;70%      |  5 | 
</t>
        </is>
      </c>
    </row>
    <row r="28" ht="218.25" customHeight="1">
      <c r="A28" s="64" t="n">
        <v>2.2</v>
      </c>
      <c r="B28" s="81" t="inlineStr">
        <is>
          <t>Tuân thủ quy trình vận hành</t>
        </is>
      </c>
      <c r="C28" s="81" t="n"/>
      <c r="D28" s="81" t="inlineStr">
        <is>
          <t>Thực hiện đúng quy trình backup, monitoring, phân quyền...</t>
        </is>
      </c>
      <c r="E28" s="81" t="inlineStr">
        <is>
          <t>Đánh giá: Quy trình đã ban hành.
Không đánh giá: Quy trình chưa được chuẩn hóa.</t>
        </is>
      </c>
      <c r="F28" s="81" t="inlineStr">
        <is>
          <t>Rubric về Kết quả công việc (Delivery/Execution)</t>
        </is>
      </c>
      <c r="G28" s="81" t="inlineStr">
        <is>
          <t>SOP</t>
        </is>
      </c>
      <c r="H28" s="81" t="inlineStr">
        <is>
          <t xml:space="preserve">  Định tính</t>
        </is>
      </c>
      <c r="I28" s="83" t="inlineStr">
        <is>
          <t xml:space="preserve">| Điểm | Mô tả
| 10   | Chủ động giám sát hệ thống, phát hiện và xử lý sự cố kịp thời; không để xảy ra sai sót do chủ quan.
| 9    | Đảm bảo hệ thống vận hành ổn định; xử lý tốt các sự cố thông thường. 
| 8    | Đáp ứng yêu cầu vận hành nhưng còn cần hỗ trợ với các tình huống phức tạp. 
| 6    | Để xảy ra nhiều sai sót hoặc xử lý sự cố chưa kịp thời. 
| &lt;5    | Không đảm bảo được yêu cầu vận hành hệ thống. 
</t>
        </is>
      </c>
    </row>
    <row r="29" ht="137.25" customHeight="1">
      <c r="A29" s="64" t="n">
        <v>2.3</v>
      </c>
      <c r="B29" s="81" t="inlineStr">
        <is>
          <t>Giám sát và theo dõi hệ thống</t>
        </is>
      </c>
      <c r="C29" s="81" t="n"/>
      <c r="D29" s="81" t="inlineStr">
        <is>
          <t>Chủ động phát hiện bất thường trong quá trình vận hành.</t>
        </is>
      </c>
      <c r="E29" s="81" t="inlineStr">
        <is>
          <t>Theo Monitoring Log</t>
        </is>
      </c>
      <c r="F29" s="81" t="inlineStr">
        <is>
          <t>Rubric về Kết quả công việc (Delivery/Execution)</t>
        </is>
      </c>
      <c r="G29" s="81" t="inlineStr">
        <is>
          <t>Monitoring Log</t>
        </is>
      </c>
      <c r="H29" s="81" t="inlineStr">
        <is>
          <t xml:space="preserve"> Định tính </t>
        </is>
      </c>
      <c r="I29" s="83" t="inlineStr">
        <is>
          <t xml:space="preserve">| Điểm | Mô tả
| 10   | Chủ động giám sát hệ thống, phát hiện và xử lý sự cố kịp thời; không để xảy ra sai sót do chủ quan.
| 9    | Đảm bảo hệ thống vận hành ổn định; xử lý tốt các sự cố thông thường. 
| 8    | Đáp ứng yêu cầu vận hành nhưng còn cần hỗ trợ với các tình huống phức tạp. 
| 6    | Để xảy ra nhiều sai sót hoặc xử lý sự cố chưa kịp thời. 
| &lt;5    | Không đảm bảo được yêu cầu vận hành hệ thống. 
</t>
        </is>
      </c>
    </row>
    <row r="30" ht="207.75" customHeight="1">
      <c r="A30" s="64" t="n">
        <v>2.4</v>
      </c>
      <c r="B30" s="81" t="inlineStr">
        <is>
          <t xml:space="preserve"> Xử lý sự cố (Incident)</t>
        </is>
      </c>
      <c r="C30" s="81" t="n"/>
      <c r="D30" s="81" t="inlineStr">
        <is>
          <t xml:space="preserve"> Phản ứng và xử lý sự cố thuộc phạm vi Operator</t>
        </is>
      </c>
      <c r="E30" s="81" t="inlineStr">
        <is>
          <t>Theo xác nhận của quản lý</t>
        </is>
      </c>
      <c r="F30" s="81" t="inlineStr">
        <is>
          <t>Rubric về Kết quả công việc (Delivery/Execution)</t>
        </is>
      </c>
      <c r="G30" s="81" t="inlineStr">
        <is>
          <t xml:space="preserve"> Incident Log</t>
        </is>
      </c>
      <c r="H30" s="81" t="inlineStr">
        <is>
          <t xml:space="preserve"> Định tính </t>
        </is>
      </c>
      <c r="I30" s="83" t="inlineStr">
        <is>
          <t xml:space="preserve">| Điểm | Mô tả
| 10   | Chủ động giám sát hệ thống, phát hiện và xử lý sự cố kịp thời; không để xảy ra sai sót do chủ quan.
| 9    | Đảm bảo hệ thống vận hành ổn định; xử lý tốt các sự cố thông thường. 
| 8    | Đáp ứng yêu cầu vận hành nhưng còn cần hỗ trợ với các tình huống phức tạp. 
| 6    | Để xảy ra nhiều sai sót hoặc xử lý sự cố chưa kịp thời. 
| &lt;5    | Không đảm bảo được yêu cầu vận hành hệ thống. 
</t>
        </is>
      </c>
    </row>
    <row r="31" ht="54.75" customHeight="1">
      <c r="A31" s="74" t="n">
        <v>3</v>
      </c>
      <c r="B31" s="75" t="inlineStr">
        <is>
          <t>Business Knowledge &amp; Capability (Năng lực nghiệp vụ): 10%</t>
        </is>
      </c>
      <c r="C31" s="293" t="inlineStr">
        <is>
          <t>= 35% x Hiểu nghiệp vụ + 20% x Hướng dẫn người khác + 30% x Vận dụng nghiệp vụ + 15% x Đề xuất cải tiến</t>
        </is>
      </c>
      <c r="D31" s="77" t="n"/>
      <c r="E31" s="77" t="n"/>
      <c r="F31" s="78" t="n"/>
      <c r="G31" s="78" t="n"/>
      <c r="H31" s="79" t="n"/>
      <c r="I31" s="79" t="n"/>
    </row>
    <row r="32" ht="220.5" customHeight="1">
      <c r="A32" s="64" t="n">
        <v>3.1</v>
      </c>
      <c r="B32" s="81" t="inlineStr">
        <is>
          <t>Hiểu nghiệp vụ</t>
        </is>
      </c>
      <c r="C32" s="81" t="n"/>
      <c r="D32" s="82" t="inlineStr">
        <is>
          <t>Hiểu đầy đủ chức năng và quy trình nghiệp vụ của hệ thống.</t>
        </is>
      </c>
      <c r="E32" s="82" t="inlineStr">
        <is>
          <t xml:space="preserve"> Đánh giá qua hỏi đáp, Case Study</t>
        </is>
      </c>
      <c r="F32" s="85" t="inlineStr">
        <is>
          <t>Rubric về  năng lực chuyên môn (Capability) với lộ trình phát triển rõ ràng từ Hiểu - Hướng dẫn - Vận dụng - Phân tích/ cải tiến</t>
        </is>
      </c>
      <c r="G32" s="85" t="inlineStr">
        <is>
          <t>Phỏng vấn</t>
        </is>
      </c>
      <c r="H32" s="81" t="inlineStr">
        <is>
          <t>Định tính</t>
        </is>
      </c>
      <c r="I32" s="83" t="inlineStr">
        <is>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is>
      </c>
    </row>
    <row r="33" ht="220.5" customHeight="1">
      <c r="A33" s="64" t="n">
        <v>3.2</v>
      </c>
      <c r="B33" s="81" t="inlineStr">
        <is>
          <t>Hướng dẫn người khác</t>
        </is>
      </c>
      <c r="C33" s="81" t="n"/>
      <c r="D33" s="82" t="inlineStr">
        <is>
          <t>Có khả năng chuyển giao nghiệp vụ cho CS, Học liệu hoặc nhân sự mới.</t>
        </is>
      </c>
      <c r="E33" s="82" t="inlineStr">
        <is>
          <t xml:space="preserve"> Đánh giá qua hoạt động đào tạo</t>
        </is>
      </c>
      <c r="F33" s="85" t="inlineStr">
        <is>
          <t>Rubric về  năng lực chuyên môn (Capability) với lộ trình phát triển rõ ràng từ Hiểu - Hướng dẫn - Vận dụng - Phân tích/ cải tiến</t>
        </is>
      </c>
      <c r="G33" s="85" t="inlineStr">
        <is>
          <t>Biên bản đào tạo</t>
        </is>
      </c>
      <c r="H33" s="81" t="inlineStr">
        <is>
          <t>Định tính</t>
        </is>
      </c>
      <c r="I33" s="83" t="inlineStr">
        <is>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is>
      </c>
    </row>
    <row r="34" ht="234" customHeight="1">
      <c r="A34" s="64" t="n">
        <v>3.3</v>
      </c>
      <c r="B34" s="81" t="inlineStr">
        <is>
          <t>Vận dụng nghiệp vụ</t>
        </is>
      </c>
      <c r="C34" s="81" t="n"/>
      <c r="D34" s="82" t="inlineStr">
        <is>
          <t>Áp dụng nghiệp vụ để xử lý các tình huống thực tế.</t>
        </is>
      </c>
      <c r="E34" s="82" t="inlineStr">
        <is>
          <t xml:space="preserve"> Đánh giá qua Case thực tế</t>
        </is>
      </c>
      <c r="F34" s="85" t="inlineStr">
        <is>
          <t>Rubric về  năng lực chuyên môn (Capability) với lộ trình phát triển rõ ràng từ Hiểu - Hướng dẫn - Vận dụng - Phân tích/ cải tiến</t>
        </is>
      </c>
      <c r="G34" s="85" t="inlineStr">
        <is>
          <t xml:space="preserve">Case thực tế </t>
        </is>
      </c>
      <c r="H34" s="81" t="inlineStr">
        <is>
          <t>Định tính</t>
        </is>
      </c>
      <c r="I34" s="83" t="inlineStr">
        <is>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is>
      </c>
    </row>
    <row r="35" ht="213" customHeight="1">
      <c r="A35" s="64" t="n">
        <v>3.4</v>
      </c>
      <c r="B35" s="81" t="inlineStr">
        <is>
          <t>Đề xuất cải tiến nghiệp vụ</t>
        </is>
      </c>
      <c r="C35" s="81" t="n"/>
      <c r="D35" s="82" t="inlineStr">
        <is>
          <t>Đề xuất các giải pháp tối ưu về nghiệp vụ hoặc tính năng.</t>
        </is>
      </c>
      <c r="E35" s="82" t="inlineStr">
        <is>
          <t>Đánh giá các đề xuất có giá trị</t>
        </is>
      </c>
      <c r="F35" s="85" t="inlineStr">
        <is>
          <t>Rubric về  năng lực chuyên môn (Capability) với lộ trình phát triển rõ ràng từ Hiểu - Hướng dẫn - Vận dụng - Phân tích/ cải tiến</t>
        </is>
      </c>
      <c r="G35" s="85" t="inlineStr">
        <is>
          <t>Đề xuất cải tiến</t>
        </is>
      </c>
      <c r="H35" s="81" t="inlineStr">
        <is>
          <t>Định tính</t>
        </is>
      </c>
      <c r="I35" s="83" t="inlineStr">
        <is>
          <t xml:space="preserve">|   Điểm | Mức năng lực 
| 10 | Hiểu sâu nghiệp vụ, vận dụng linh hoạt, đào tạo được người khác và chủ động đề xuất cải tiến. 
|  9 | Hiểu rõ nghiệp vụ, xử lý tốt hầu hết tình huống và có thể hướng dẫn các nội dung phổ biến.    
|  8 | Hiểu nghiệp vụ, xử lý được các tình huống thông thường và hoàn thành tốt công việc.           
|  6 | Hiểu một phần nghiệp vụ, còn phụ thuộc vào hướng dẫn khi xử lý tình huống.                    
|  5 | Chưa nắm được nghiệp vụ, không thể áp dụng hiệu quả vào công việc.                            
</t>
        </is>
      </c>
    </row>
    <row r="36" ht="54.75" customHeight="1">
      <c r="A36" s="74" t="n">
        <v>4</v>
      </c>
      <c r="B36" s="75" t="inlineStr">
        <is>
          <t>Service &amp; Collaboration (Hỗ trợ và phối hợp): 15%</t>
        </is>
      </c>
      <c r="C36" s="293" t="inlineStr">
        <is>
          <t>= 35% x Hỗ trợ CSKH + 25% x Hỗ trợ phòng ban + 20% x Phản hồi đúng cam kết + 20% x Phối hợp triển khai dự án</t>
        </is>
      </c>
      <c r="D36" s="77" t="inlineStr">
        <is>
          <t>Dự kiến chỉ cần để là 1 tiêu chí chung lớn là Hỗ trợ và phối hợp</t>
        </is>
      </c>
      <c r="E36" s="77" t="n"/>
      <c r="F36" s="78" t="n"/>
      <c r="G36" s="78" t="n"/>
      <c r="H36" s="79" t="n"/>
      <c r="I36" s="79" t="n"/>
    </row>
    <row r="37" ht="226.5" customHeight="1">
      <c r="A37" s="64" t="n">
        <v>4.1</v>
      </c>
      <c r="B37" s="81" t="inlineStr">
        <is>
          <t>Hỗ trợ CSKH</t>
        </is>
      </c>
      <c r="C37" s="81" t="n"/>
      <c r="D37" s="82" t="inlineStr">
        <is>
          <t>Hỗ trợ xử lý các case nghiệp vụ vượt FAQ.</t>
        </is>
      </c>
      <c r="E37" s="82" t="inlineStr">
        <is>
          <t>Theo xác nhận của quản lý</t>
        </is>
      </c>
      <c r="F37" s="85" t="inlineStr">
        <is>
          <t>Rubric về Hành vi và Đóng góp (Behavior &amp; Contribution)</t>
        </is>
      </c>
      <c r="G37" s="85" t="inlineStr">
        <is>
          <t>Lịch sử trao đổi</t>
        </is>
      </c>
      <c r="H37" s="81" t="inlineStr">
        <is>
          <t>Định tính</t>
        </is>
      </c>
      <c r="I37" s="83" t="inlineStr">
        <is>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is>
      </c>
    </row>
    <row r="38" ht="150" customHeight="1">
      <c r="A38" s="64" t="n">
        <v>4.2</v>
      </c>
      <c r="B38" s="81" t="inlineStr">
        <is>
          <t>Hỗ trợ phòng ban</t>
        </is>
      </c>
      <c r="C38" s="81" t="n"/>
      <c r="D38" s="82" t="inlineStr">
        <is>
          <t>Phối hợp hiệu quả với các phòng ban liên quan.</t>
        </is>
      </c>
      <c r="E38" s="82" t="inlineStr">
        <is>
          <t xml:space="preserve"> Theo phản hồi của các bộ phận</t>
        </is>
      </c>
      <c r="F38" s="85" t="inlineStr">
        <is>
          <t>Rubric về Hành vi và Đóng góp (Behavior &amp; Contribution)</t>
        </is>
      </c>
      <c r="G38" s="85" t="inlineStr">
        <is>
          <t xml:space="preserve">Feedback </t>
        </is>
      </c>
      <c r="H38" s="81" t="inlineStr">
        <is>
          <t>Định tính</t>
        </is>
      </c>
      <c r="I38" s="83" t="inlineStr">
        <is>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is>
      </c>
    </row>
    <row r="39" ht="150" customHeight="1">
      <c r="A39" s="64" t="n">
        <v>4.3</v>
      </c>
      <c r="B39" s="81" t="inlineStr">
        <is>
          <t>Hiệu quả phối hợp</t>
        </is>
      </c>
      <c r="C39" s="81" t="n"/>
      <c r="D39" s="82" t="inlineStr">
        <is>
          <t>Chủ động trao đổi, phối hợp và giải quyết công việc xuyên phòng ban.</t>
        </is>
      </c>
      <c r="E39" s="82" t="inlineStr">
        <is>
          <t xml:space="preserve">Theo xác nhận của quản lý </t>
        </is>
      </c>
      <c r="F39" s="85" t="inlineStr">
        <is>
          <t>Rubric về Hành vi và Đóng góp (Behavior &amp; Contribution)</t>
        </is>
      </c>
      <c r="G39" s="85" t="inlineStr">
        <is>
          <t xml:space="preserve"> Lịch sử trao đổi</t>
        </is>
      </c>
      <c r="H39" s="81" t="inlineStr">
        <is>
          <t>Định tính</t>
        </is>
      </c>
      <c r="I39" s="83" t="inlineStr">
        <is>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is>
      </c>
    </row>
    <row r="40" ht="150" customHeight="1">
      <c r="A40" s="64" t="n">
        <v>4.4</v>
      </c>
      <c r="B40" s="81" t="inlineStr">
        <is>
          <t>Phối hợp triển khai dự án</t>
        </is>
      </c>
      <c r="C40" s="81" t="n"/>
      <c r="D40" s="82" t="inlineStr">
        <is>
          <t>Tham gia phối hợp với BA, Dev, QA trong triển khai dự án.</t>
        </is>
      </c>
      <c r="E40" s="82" t="inlineStr">
        <is>
          <t xml:space="preserve"> Theo đánh giá của PM</t>
        </is>
      </c>
      <c r="F40" s="85" t="inlineStr">
        <is>
          <t>Rubric về Hành vi và Đóng góp (Behavior &amp; Contribution)</t>
        </is>
      </c>
      <c r="G40" s="85" t="inlineStr">
        <is>
          <t>Biên bản dự án</t>
        </is>
      </c>
      <c r="H40" s="81" t="inlineStr">
        <is>
          <t>Định tính</t>
        </is>
      </c>
      <c r="I40" s="83" t="inlineStr">
        <is>
          <t xml:space="preserve">|   Điểm |  Mô tả       
| 10 | Luôn chủ động phối hợp, hỗ trợ hiệu quả các phòng ban; tích cực chia sẻ tri thức, đóng góp cải tiến và tạo ảnh hưởng tích cực đến tập thể. 
|  9  | Phối hợp tốt với các bộ phận liên quan; hỗ trợ đầy đủ, đúng cam kết và có tinh thần hợp tác tích cực.                                      
|  8  | Phối hợp đạt yêu cầu; thực hiện đầy đủ trách nhiệm nhưng chưa thật sự chủ động trong một số tình huống.                                    
|  6  | Phối hợp chưa hiệu quả, còn bị nhắc nhở hoặc ít tham gia các hoạt động chia sẻ, cải tiến.                                                  
|  &lt;5 | Thiếu tinh thần hợp tác hoặc không tham gia các hoạt động chung, gây ảnh hưởng đến công việc của tập thể.                                  
</t>
        </is>
      </c>
    </row>
    <row r="41" ht="54.75" customHeight="1">
      <c r="A41" s="86" t="n">
        <v>5</v>
      </c>
      <c r="B41" s="75" t="inlineStr">
        <is>
          <t>Continuous Improvement (Cải tiến và phát triển): 20%</t>
        </is>
      </c>
      <c r="C41" s="293" t="inlineStr">
        <is>
          <t>= 30% x Tài liệu hóa nghiệp vụ + 25% x Chuẩn hóa SOP + 20% x Chia sẻ tri thức + 25% x Đề xuất cải tiến</t>
        </is>
      </c>
      <c r="D41" s="79" t="n"/>
      <c r="E41" s="79" t="n"/>
      <c r="F41" s="79" t="n"/>
      <c r="G41" s="79" t="n"/>
      <c r="H41" s="79" t="n"/>
      <c r="I41" s="80" t="n"/>
    </row>
    <row r="42" ht="172.5" customHeight="1">
      <c r="A42" s="64" t="n">
        <v>5.1</v>
      </c>
      <c r="B42" s="81" t="inlineStr">
        <is>
          <t>Tài liệu hóa nghiệp vụ</t>
        </is>
      </c>
      <c r="C42" s="81" t="n"/>
      <c r="D42" s="81" t="inlineStr">
        <is>
          <t>Chuẩn hóa tài liệu nghiệp vụ và hướng dẫn sử dụng</t>
        </is>
      </c>
      <c r="E42" s="81" t="inlineStr">
        <is>
          <t xml:space="preserve"> Tài liệu được ban hành hoặc cập nhật</t>
        </is>
      </c>
      <c r="F42" s="81" t="inlineStr">
        <is>
          <t>Rubric</t>
        </is>
      </c>
      <c r="G42" s="81" t="inlineStr">
        <is>
          <t>Tài liệu</t>
        </is>
      </c>
      <c r="H42" s="81" t="inlineStr">
        <is>
          <t xml:space="preserve"> Định tính</t>
        </is>
      </c>
      <c r="I42" s="83" t="inlineStr">
        <is>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is>
      </c>
      <c r="J42" s="87" t="n"/>
    </row>
    <row r="43" ht="172.5" customHeight="1">
      <c r="A43" s="64" t="n">
        <v>5.2</v>
      </c>
      <c r="B43" s="81" t="inlineStr">
        <is>
          <t>Chuẩn hóa SOP</t>
        </is>
      </c>
      <c r="C43" s="81" t="n"/>
      <c r="D43" s="81" t="inlineStr">
        <is>
          <t>Xây dựng và cải tiến quy trình vận hành</t>
        </is>
      </c>
      <c r="E43" s="81" t="inlineStr">
        <is>
          <t>SOP được áp dụng</t>
        </is>
      </c>
      <c r="F43" s="81" t="inlineStr">
        <is>
          <t>Rubric</t>
        </is>
      </c>
      <c r="G43" s="81" t="inlineStr">
        <is>
          <t xml:space="preserve"> SOP</t>
        </is>
      </c>
      <c r="H43" s="81" t="inlineStr">
        <is>
          <t xml:space="preserve"> Định tính</t>
        </is>
      </c>
      <c r="I43" s="83" t="inlineStr">
        <is>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is>
      </c>
    </row>
    <row r="44" ht="172.5" customHeight="1">
      <c r="A44" s="64" t="n">
        <v>5.3</v>
      </c>
      <c r="B44" s="81" t="inlineStr">
        <is>
          <t>Chia sẻ tri thức</t>
        </is>
      </c>
      <c r="C44" s="81" t="n"/>
      <c r="D44" s="81" t="inlineStr">
        <is>
          <t>Tham gia đào tạo, chia sẻ kinh nghiệm trong trao đổi công việc hàng ngày</t>
        </is>
      </c>
      <c r="E44" s="81" t="n"/>
      <c r="F44" s="81" t="inlineStr">
        <is>
          <t>Rubric</t>
        </is>
      </c>
      <c r="G44" s="81" t="inlineStr">
        <is>
          <t>Biên bản đào tạo</t>
        </is>
      </c>
      <c r="H44" s="81" t="inlineStr">
        <is>
          <t xml:space="preserve"> Định tính</t>
        </is>
      </c>
      <c r="I44" s="83" t="inlineStr">
        <is>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is>
      </c>
    </row>
    <row r="45" ht="300" customHeight="1">
      <c r="A45" s="64" t="n">
        <v>5.4</v>
      </c>
      <c r="B45" s="81" t="inlineStr">
        <is>
          <t>Sáng kiến cải tiến</t>
        </is>
      </c>
      <c r="C45" s="81" t="n"/>
      <c r="D45" s="81" t="inlineStr">
        <is>
          <t xml:space="preserve"> Đề xuất cải tiến quy trình, sản phẩm hoặc công cụ</t>
        </is>
      </c>
      <c r="E45" s="81" t="inlineStr">
        <is>
          <t>Được ghi nhận và đánh giá</t>
        </is>
      </c>
      <c r="F45" s="81" t="inlineStr">
        <is>
          <t>Rubric</t>
        </is>
      </c>
      <c r="G45" s="81" t="inlineStr">
        <is>
          <t xml:space="preserve"> Improvement Log</t>
        </is>
      </c>
      <c r="H45" s="81" t="inlineStr">
        <is>
          <t xml:space="preserve"> Định tính</t>
        </is>
      </c>
      <c r="I45" s="83" t="inlineStr">
        <is>
          <t xml:space="preserve">|   Điểm    | Mô tả   
| 10 |  Chủ động tạo nhiều giá trị cải tiến; tích cực chuẩn hóa tài liệu, quy trình; chia sẻ tri thức; các sáng kiến được áp dụng và mang lại hiệu quả rõ rệt cho bộ phận hoặc hệ thống. 
|  9 |  Hoàn thành đầy đủ các hoạt động chuẩn hóa, tài liệu hóa, chia sẻ tri thức; có đề xuất cải tiến hoặc đóng góp được ghi nhận và áp dụng ở một số nội dung.      
|  8 |  Tham gia đầy đủ các hoạt động chuẩn hóa, tài liệu hóa, chia sẻ tri thức và cải tiến theo yêu cầu; có đóng góp ở mức cơ bản.        
|  6 |  Có tham gia các hoạt động cải tiến nhưng chưa đầy đủ; tài liệu hoặc quy trình còn thiếu cập nhật; ít chia sẻ tri thức hoặc ít có đóng góp cải tiến.       
|  5 | Có tham gia nhưng rất hạn chế; hầu như không có đóng góp cho hoạt động chuẩn hóa, tài liệu hóa hoặc cải tiến; cần được quản lý hướng dẫn và theo dõi sát để cải thiện.   </t>
        </is>
      </c>
    </row>
    <row r="49">
      <c r="A49" s="88" t="inlineStr">
        <is>
          <t>Ghi chú</t>
        </is>
      </c>
      <c r="B49" s="89" t="n"/>
    </row>
    <row r="50">
      <c r="B50" s="66" t="inlineStr">
        <is>
          <t>Rubric</t>
        </is>
      </c>
      <c r="C50" s="66" t="inlineStr">
        <is>
          <t>Áp dụng</t>
        </is>
      </c>
    </row>
    <row r="51">
      <c r="B51" s="66" t="inlineStr">
        <is>
          <t>Rubric A - Delivery / Execution</t>
        </is>
      </c>
      <c r="C51" t="inlineStr">
        <is>
          <t>Hoàn thành công việc, tiến độ, checklist...</t>
        </is>
      </c>
    </row>
    <row r="52">
      <c r="B52" s="66" t="inlineStr">
        <is>
          <t>Rubric B - Reliability / Compliance</t>
        </is>
      </c>
      <c r="C52" t="inlineStr">
        <is>
          <t>Vận hành hệ thống, Incident, tuân thủ quy trình, giám sát...</t>
        </is>
      </c>
    </row>
    <row r="53">
      <c r="B53" s="66" t="inlineStr">
        <is>
          <t>Rubric C - Business Capability</t>
        </is>
      </c>
      <c r="C53" t="inlineStr">
        <is>
          <t>Hiểu nghiệp vụ, hướng dẫn, vận dụng, phân tích...</t>
        </is>
      </c>
    </row>
    <row r="54">
      <c r="B54" s="66" t="inlineStr">
        <is>
          <t>Rubric D - Behavior &amp; Improvement</t>
        </is>
      </c>
      <c r="C54" t="inlineStr">
        <is>
          <t>Hỗ trợ, phối hợp, tài liệu hóa, SOP, chia sẻ tri thức, sáng kiến cải tiến...</t>
        </is>
      </c>
    </row>
  </sheetData>
  <mergeCells count="3">
    <mergeCell ref="B9:C9"/>
    <mergeCell ref="B1:C1"/>
    <mergeCell ref="B17:C17"/>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2:F21"/>
  <sheetViews>
    <sheetView workbookViewId="0">
      <pane xSplit="1" ySplit="2" topLeftCell="B3" activePane="bottomRight" state="frozen"/>
      <selection pane="topRight" activeCell="A1" sqref="A1"/>
      <selection pane="bottomLeft" activeCell="A1" sqref="A1"/>
      <selection pane="bottomRight" activeCell="A1" sqref="A1"/>
    </sheetView>
  </sheetViews>
  <sheetFormatPr baseColWidth="8" defaultColWidth="9.140625" defaultRowHeight="15"/>
  <cols>
    <col width="9.140625" customWidth="1" min="1" max="1"/>
    <col width="28.85546875" customWidth="1" min="2" max="2"/>
    <col width="48.28515625" customWidth="1" min="3" max="3"/>
    <col width="68.42578125" customWidth="1" min="5" max="5"/>
    <col width="33" customWidth="1" min="6" max="6"/>
    <col width="9.140625" customWidth="1" min="7" max="7"/>
  </cols>
  <sheetData>
    <row r="2" ht="18.6" customHeight="1">
      <c r="A2" s="450" t="inlineStr">
        <is>
          <t>STT</t>
        </is>
      </c>
      <c r="B2" s="450" t="inlineStr">
        <is>
          <t>Tiêu chí</t>
        </is>
      </c>
      <c r="C2" s="450" t="inlineStr">
        <is>
          <t>Mô tả</t>
        </is>
      </c>
      <c r="D2" s="450" t="inlineStr">
        <is>
          <t>Chi tiết</t>
        </is>
      </c>
      <c r="E2" s="450" t="inlineStr">
        <is>
          <t>Công thức tính</t>
        </is>
      </c>
      <c r="F2" s="451" t="inlineStr">
        <is>
          <t>Thang điểm</t>
        </is>
      </c>
    </row>
    <row r="3" ht="41.25" customHeight="1">
      <c r="A3" s="452" t="inlineStr">
        <is>
          <t>A</t>
        </is>
      </c>
      <c r="B3" s="453" t="inlineStr">
        <is>
          <t>Hiệu quả công việc</t>
        </is>
      </c>
      <c r="C3" s="453" t="n"/>
      <c r="D3" s="453" t="n"/>
      <c r="E3" s="454" t="inlineStr">
        <is>
          <t xml:space="preserve"> = 35% * Delivery + 20% * Quality + 10% * Reliability + 10% * Collaboration + 5% * Growth + 20% * Impact Bonus</t>
        </is>
      </c>
      <c r="F3" s="453" t="n"/>
    </row>
    <row r="4" ht="46.5" customHeight="1">
      <c r="A4" s="455" t="n">
        <v>1</v>
      </c>
      <c r="B4" s="455" t="inlineStr">
        <is>
          <t>Delivery KPI</t>
        </is>
      </c>
      <c r="C4" s="456" t="inlineStr">
        <is>
          <t>Delivery phản ánh khả năng chuyển giao công việc đã cam kết thành kết quả có giá trị.</t>
        </is>
      </c>
      <c r="D4" s="457" t="n"/>
      <c r="E4" s="457" t="inlineStr">
        <is>
          <t xml:space="preserve"> = 40% × Commitment Achievement + 25% × Schedule Performance + 20% × Work Throughput + 15% × Delivery Ownership</t>
        </is>
      </c>
      <c r="F4" s="457" t="n"/>
    </row>
    <row r="5" ht="131.25" customHeight="1">
      <c r="A5" s="458" t="n"/>
      <c r="B5" s="49" t="inlineStr">
        <is>
          <t>Commitment Achievement</t>
        </is>
      </c>
      <c r="C5" s="49" t="inlineStr">
        <is>
          <t>Hoàn thành công việc đã cam kết</t>
        </is>
      </c>
      <c r="D5" s="459" t="inlineStr">
        <is>
          <t>Đánh giá khả năng hoàn thành các Jira Task/Ticket đã cam kết.
Không tính:
- Ticket bị hủy
- Scope thay đổi do PO/BA
- Công việc chưa đủ điều kiện triển khai
- Blocker ngoài khả năng kiểm soát</t>
        </is>
      </c>
      <c r="E5" s="458" t="inlineStr">
        <is>
          <t>Commitment Achievement = Completed Scope / Committed Scope</t>
        </is>
      </c>
      <c r="F5" s="458" t="inlineStr">
        <is>
          <t>Tỷ lệ hoàn thành	Điểm
≥100%	100
95–99%	95
90–94%	90
80–89%	80
&lt;80%	60</t>
        </is>
      </c>
    </row>
    <row r="6" ht="132" customHeight="1">
      <c r="A6" s="458" t="n"/>
      <c r="B6" s="49" t="inlineStr">
        <is>
          <t>Schedule Performance</t>
        </is>
      </c>
      <c r="C6" s="49" t="inlineStr">
        <is>
          <t>Hoàn thành đúng thời hạn</t>
        </is>
      </c>
      <c r="D6" s="459" t="inlineStr">
        <is>
          <t>Đánh giá mức độ hoàn thành đúng thời hạn.
Không tính:
- Delay do Requirement thay đổi
- Delay do hạ tầng
- Delay do phụ thuộc team khác</t>
        </is>
      </c>
      <c r="E6" s="458" t="inlineStr">
        <is>
          <t>Schedule Performance = On-time Completed / Completed Issues</t>
        </is>
      </c>
      <c r="F6" s="458" t="inlineStr">
        <is>
          <t>On-time Rate	Điểm
≥95%	100
90–94%	95
80–89%	85
70–79%	75
&lt;70%	60</t>
        </is>
      </c>
    </row>
    <row r="7" ht="132" customHeight="1">
      <c r="A7" s="458" t="n"/>
      <c r="B7" s="49" t="inlineStr">
        <is>
          <t>Work Throughput</t>
        </is>
      </c>
      <c r="C7" s="49" t="inlineStr">
        <is>
          <t>Khối lượng công việc hoàn thành theo Scope Score</t>
        </is>
      </c>
      <c r="D7" s="459" t="inlineStr">
        <is>
          <t>Đánh giá công việc hoàn thành dựa trên level/ cấp bậc nhân sự
Notes: 
- Không sử dụng số lượng Task hoặc Ticket.
- Đề xuất sử dụng Scope Score.</t>
        </is>
      </c>
      <c r="E7" s="458" t="n"/>
      <c r="F7" s="458" t="inlineStr">
        <is>
          <t>Throughput	Điểm
≥95%	100
90–94%	95
80–89%	85
&lt;80%	70</t>
        </is>
      </c>
    </row>
    <row r="8" ht="195" customHeight="1">
      <c r="A8" s="460" t="n"/>
      <c r="B8" s="52" t="inlineStr">
        <is>
          <t>Delivery Ownership</t>
        </is>
      </c>
      <c r="C8" s="52" t="inlineStr">
        <is>
          <t>Chủ động xử lý và đảm bảo tiến độ</t>
        </is>
      </c>
      <c r="D8" s="460" t="inlineStr">
        <is>
          <t xml:space="preserve">Đánh giá mức độ chủ động trong quá trình thực hiện.
</t>
        </is>
      </c>
      <c r="E8" s="460" t="n"/>
      <c r="F8" s="460" t="inlineStr">
        <is>
          <t>Manager đánh giá theo Rubric.
Mức	Tiêu chí
5	Luôn chủ động xử lý blocker, cảnh báo rủi ro sớm, đề xuất phương án khả thi
4	Chủ động trong hầu hết tình huống
3	Hoàn thành công việc được giao, biết báo cáo khi gặp khó khăn
2	Thường xuyên cần nhắc nhở
1	Bị động, ảnh hưởng đến tiến độ chung</t>
        </is>
      </c>
    </row>
    <row r="9" ht="44.45" customHeight="1">
      <c r="A9" s="461" t="n">
        <v>2</v>
      </c>
      <c r="B9" s="461" t="inlineStr">
        <is>
          <t>Quality KPI</t>
        </is>
      </c>
      <c r="C9" s="462" t="inlineStr">
        <is>
          <t>Quality phản ánh khả năng tạo ra phần mềm đáp ứng yêu cầu chất lượng trong toàn bộ SDLC, không chỉ là số lượng bug sau khi release.</t>
        </is>
      </c>
      <c r="D9" s="463" t="n"/>
      <c r="E9" s="463" t="inlineStr">
        <is>
          <t>Quality Score = 25% × Code Quality + 20% × Testing Quality + 15% × Build &amp; Release Quality + 25% × Production Quality + 15% × Quality Process Compliance</t>
        </is>
      </c>
      <c r="F9" s="463" t="n"/>
    </row>
    <row r="10" ht="101.45" customHeight="1">
      <c r="A10" s="458" t="n"/>
      <c r="B10" s="458" t="inlineStr">
        <is>
          <t>Code Quality</t>
        </is>
      </c>
      <c r="C10" s="464" t="inlineStr">
        <is>
          <t>Đánh giá chất lượng mã nguồn trước khi merge.</t>
        </is>
      </c>
      <c r="D10" s="458" t="n"/>
      <c r="E10" s="458" t="n"/>
      <c r="F10" s="458" t="inlineStr">
        <is>
          <t xml:space="preserve">Điểm	Đánh giá
95–100	Xuất sắc
90–94	Tốt
80–89	Đạt
70–79	Cần cải thiện
&lt;70	Không đạt
</t>
        </is>
      </c>
    </row>
    <row r="11" ht="87" customHeight="1">
      <c r="A11" s="458" t="n"/>
      <c r="B11" s="458" t="inlineStr">
        <is>
          <t>Testing Quality</t>
        </is>
      </c>
      <c r="C11" s="458" t="inlineStr">
        <is>
          <t>Đánh giá chất lượng kiểm thử (seft test)</t>
        </is>
      </c>
      <c r="D11" s="458" t="inlineStr">
        <is>
          <t>Tham số đầu vào
- Unit Test Coverage
- Integration Test
- Regression Test
- Test Pass Rate
- Flaky Test</t>
        </is>
      </c>
      <c r="E11" s="458" t="n"/>
      <c r="F11" s="458" t="n"/>
    </row>
    <row r="12" ht="87" customHeight="1">
      <c r="A12" s="458" t="n"/>
      <c r="B12" s="458" t="inlineStr">
        <is>
          <t xml:space="preserve">Build &amp; Release Quality </t>
        </is>
      </c>
      <c r="C12" s="458" t="inlineStr">
        <is>
          <t>Đánh giá chất lượng build.</t>
        </is>
      </c>
      <c r="D12" s="458" t="inlineStr">
        <is>
          <t>Tham số:
- Build Success Rate
- Failed Build
- Rollback
- Release Checklist</t>
        </is>
      </c>
      <c r="E12" s="458" t="n"/>
      <c r="F12" s="458" t="inlineStr">
        <is>
          <t xml:space="preserve">Điều kiện	Điểm
Không lỗi build, không rollback	100
1 failed build nhỏ	95
Nhiều failed build	80
Rollback Production	60
</t>
        </is>
      </c>
    </row>
    <row r="13" ht="101.45" customHeight="1">
      <c r="A13" s="458" t="n"/>
      <c r="B13" s="458" t="inlineStr">
        <is>
          <t>Production Quality</t>
        </is>
      </c>
      <c r="C13" s="458" t="inlineStr">
        <is>
          <t>Đây là nhóm phản ánh Outcome của Quality.</t>
        </is>
      </c>
      <c r="D13" s="458" t="inlineStr">
        <is>
          <t>Tham số
- Escaped Defects
- Critical Bug
- P1 Incident
- Customer Complaint</t>
        </is>
      </c>
      <c r="E13" s="458" t="n"/>
      <c r="F13" s="458" t="inlineStr">
        <is>
          <t xml:space="preserve">Điều kiện	Điểm
Không Critical Bug	100
1 Minor Bug	95
2 Minor Bug	90
Có Critical Bug	70
Có P1 Incident	50
</t>
        </is>
      </c>
    </row>
    <row r="14" ht="101.45" customHeight="1">
      <c r="A14" s="458" t="n"/>
      <c r="B14" s="458" t="inlineStr">
        <is>
          <t>Quality Process Compliance</t>
        </is>
      </c>
      <c r="C14" s="458" t="inlineStr">
        <is>
          <t>Đánh giá việc tuân thủ Quality Practice.</t>
        </is>
      </c>
      <c r="D14" s="458" t="inlineStr">
        <is>
          <t>Pull Request Checklist
Definition of Done
Coding Standard
Review Checklist
Documentation</t>
        </is>
      </c>
      <c r="E14" s="458" t="n"/>
      <c r="F14" s="458" t="inlineStr">
        <is>
          <t xml:space="preserve">Mức	Mô tả
5	Luôn tuân thủ đầy đủ quy trình
4	Có thiếu sót nhỏ
3	Đôi khi bỏ qua checklist
2	Thường xuyên vi phạm
1	Không tuân thủ quy trình
</t>
        </is>
      </c>
    </row>
    <row r="15" ht="144.95" customHeight="1">
      <c r="A15" s="461" t="n">
        <v>3</v>
      </c>
      <c r="B15" s="461" t="inlineStr">
        <is>
          <t>Reliability KPI</t>
        </is>
      </c>
      <c r="C15" s="462" t="inlineStr">
        <is>
          <t>Reliability phản ánh khả năng đảm bảo hệ thống vận hành ổn định sau khi thay đổi.</t>
        </is>
      </c>
      <c r="D15" s="463" t="inlineStr">
        <is>
          <t>Reliability không đánh giá:
- Số lượng Incident được xử lý
- Số lượng Ticket Support
- Thời gian online
Reliability đánh giá:
- Mức độ ổn định của phần mềm
- Chất lượng Release
- Khả năng phòng ngừa Incident
- Khả năng phục hồi khi xảy ra sự cố</t>
        </is>
      </c>
      <c r="E15" s="463" t="inlineStr">
        <is>
          <t>Reliability Score = 35% × Change Reliability + 30% × Incident Quality + 20% × Recovery Effectiveness + 15% × Operational Discipline</t>
        </is>
      </c>
      <c r="F15" s="463" t="n"/>
    </row>
    <row r="16" ht="57.95" customHeight="1">
      <c r="A16" s="458" t="n"/>
      <c r="B16" s="458" t="inlineStr">
        <is>
          <t>Change Reliability</t>
        </is>
      </c>
      <c r="C16" s="458" t="n"/>
      <c r="D16" s="458" t="inlineStr">
        <is>
          <t>Đầu vào:
- Change Failure Rate
- Rollback Rate
- Failed Deployment</t>
        </is>
      </c>
      <c r="E16" s="458" t="n"/>
      <c r="F16" s="458" t="n"/>
    </row>
    <row r="17" ht="57.95" customHeight="1">
      <c r="A17" s="458" t="n"/>
      <c r="B17" s="458" t="inlineStr">
        <is>
          <t>Incident Quality</t>
        </is>
      </c>
      <c r="C17" s="458" t="n"/>
      <c r="D17" s="458" t="inlineStr">
        <is>
          <t>Đầu vào: 
- Critical Incident
- P1/P2 Incident
- Escaped Production Issue</t>
        </is>
      </c>
      <c r="E17" s="458" t="n"/>
      <c r="F17" s="458" t="n"/>
    </row>
    <row r="18" ht="57.95" customHeight="1">
      <c r="A18" s="458" t="n"/>
      <c r="B18" s="458" t="inlineStr">
        <is>
          <t>Recovery Effectiveness</t>
        </is>
      </c>
      <c r="C18" s="458" t="n"/>
      <c r="D18" s="458" t="inlineStr">
        <is>
          <t>Đầu vào: 
- MTTR
- Recovery Plan
- Root Cause Analysis</t>
        </is>
      </c>
      <c r="E18" s="458" t="n"/>
      <c r="F18" s="458" t="n"/>
    </row>
    <row r="19" ht="72.59999999999999" customHeight="1">
      <c r="A19" s="458" t="n"/>
      <c r="B19" s="458" t="inlineStr">
        <is>
          <t>Operational Discipline</t>
        </is>
      </c>
      <c r="C19" s="458" t="n"/>
      <c r="D19" s="458" t="inlineStr">
        <is>
          <t>Đầu vào: 
- Monitoring
- Alert Handling
- Release Checklist
- Runbook Compliance</t>
        </is>
      </c>
      <c r="E19" s="458" t="n"/>
      <c r="F19" s="458" t="n"/>
    </row>
    <row r="20" ht="87" customHeight="1">
      <c r="A20" s="461" t="n">
        <v>4</v>
      </c>
      <c r="B20" s="461" t="inlineStr">
        <is>
          <t>Collaboration KPI</t>
        </is>
      </c>
      <c r="C20" s="462" t="inlineStr">
        <is>
          <t>Collaboration phản ánh khả năng phối hợp để nâng cao hiệu quả của Team, không phải khả năng giao tiếp đơn thuần.</t>
        </is>
      </c>
      <c r="D20" s="463" t="inlineStr">
        <is>
          <t>Collaboration đánh giá:
- Chia sẻ tri thức
- Code Review
- Hỗ trợ đồng đội
- Phối hợp liên nhóm
- Khả năng tạo ảnh hưởng tích cực</t>
        </is>
      </c>
      <c r="E20" s="463" t="inlineStr">
        <is>
          <t>Collaboration Score = 30% × Code Review Contribution + 30% × Team Collaboration + 20% × Knowledge Sharing + 20% × Cross-team Collaboration</t>
        </is>
      </c>
      <c r="F20" s="463" t="n"/>
    </row>
    <row r="21" ht="144.95" customHeight="1">
      <c r="A21" s="461" t="n">
        <v>5</v>
      </c>
      <c r="B21" s="461" t="inlineStr">
        <is>
          <t>Growth KPI</t>
        </is>
      </c>
      <c r="C21" s="462" t="inlineStr">
        <is>
          <t>Growth phản ánh sự phát triển năng lực của cá nhân và khả năng đóng góp vào sự phát triển năng lực của tổ chức.</t>
        </is>
      </c>
      <c r="D21" s="465" t="inlineStr">
        <is>
          <t>Growth không đánh giá:
- Số giờ học
- Số chứng chỉ
- Số khóa học tham gia
Growth đánh giá:
- Mức độ phát triển kỹ năng
- Áp dụng kiến thức vào công việc
- Đóng góp cải tiến
- Khả năng phát triển người khác</t>
        </is>
      </c>
      <c r="E21" s="463" t="inlineStr">
        <is>
          <t>Growth Score = 35% × Learning Goal Achievement + 25% × Skill Improvement + 25% × Continuous Improvement + 15% × Knowledge Contribution</t>
        </is>
      </c>
      <c r="F21" s="463"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0"/>
  <sheetViews>
    <sheetView workbookViewId="0">
      <selection activeCell="E30" sqref="E30"/>
    </sheetView>
  </sheetViews>
  <sheetFormatPr baseColWidth="8" defaultColWidth="9" defaultRowHeight="15"/>
  <cols>
    <col width="8" customWidth="1" min="1" max="1"/>
    <col width="40.2857142857143" customWidth="1" min="2" max="2"/>
    <col width="12" customWidth="1" min="5" max="5"/>
    <col width="11.4285714285714" customWidth="1" min="6" max="6"/>
    <col width="11.1428571428571" customWidth="1" min="7" max="7"/>
    <col width="21.7142857142857" customWidth="1" style="21" min="8" max="9"/>
    <col width="14.2857142857143" customWidth="1" min="10" max="10"/>
    <col width="9.71428571428571" customWidth="1" min="13" max="13"/>
  </cols>
  <sheetData>
    <row r="1" ht="17.45" customHeight="1">
      <c r="A1" s="22" t="inlineStr">
        <is>
          <t>BẢNG ĐÁNH GIÁ KPI CHO VỊ TRÍ NHÂN VIÊN..............</t>
        </is>
      </c>
    </row>
    <row r="2">
      <c r="A2" s="23" t="inlineStr">
        <is>
          <t>Họ tên:…..................................</t>
        </is>
      </c>
    </row>
    <row r="3">
      <c r="A3" s="23" t="inlineStr">
        <is>
          <t>Phòng Ban:…............................</t>
        </is>
      </c>
    </row>
    <row r="4">
      <c r="A4" s="24" t="inlineStr">
        <is>
          <t>STT</t>
        </is>
      </c>
      <c r="B4" s="24" t="inlineStr">
        <is>
          <t>NỘI DUNG</t>
        </is>
      </c>
      <c r="C4" s="25" t="inlineStr">
        <is>
          <t>TRỌNG SỐ (%)</t>
        </is>
      </c>
      <c r="D4" s="25" t="inlineStr">
        <is>
          <t>ĐƠN VỊ TÍNH</t>
        </is>
      </c>
      <c r="E4" s="26" t="inlineStr">
        <is>
          <t>KPI</t>
        </is>
      </c>
      <c r="F4" s="27" t="n"/>
      <c r="G4" s="25" t="inlineStr">
        <is>
          <t>% THỰC HIỆN</t>
        </is>
      </c>
      <c r="H4" s="28" t="inlineStr">
        <is>
          <t>ĐIỂM ĐÁNH GIÁ</t>
        </is>
      </c>
      <c r="I4" s="27" t="n"/>
      <c r="J4" s="24" t="inlineStr">
        <is>
          <t>ĐIỂM KPI</t>
        </is>
      </c>
    </row>
    <row r="5">
      <c r="A5" s="29" t="n"/>
      <c r="B5" s="29" t="n"/>
      <c r="C5" s="29" t="n"/>
      <c r="D5" s="29" t="n"/>
      <c r="E5" s="26" t="inlineStr">
        <is>
          <t>HIỆN TẠI</t>
        </is>
      </c>
      <c r="F5" s="26" t="inlineStr">
        <is>
          <t xml:space="preserve">CHI TIÊU </t>
        </is>
      </c>
      <c r="G5" s="29" t="n"/>
      <c r="H5" s="28" t="inlineStr">
        <is>
          <t>NGƯỜI ĐÁNH GIÁ 1</t>
        </is>
      </c>
      <c r="I5" s="28" t="inlineStr">
        <is>
          <t>NGƯỜI ĐÁNH GIÁ 2</t>
        </is>
      </c>
      <c r="J5" s="29" t="n"/>
    </row>
    <row r="6">
      <c r="A6" s="30" t="inlineStr">
        <is>
          <t>A.</t>
        </is>
      </c>
      <c r="B6" s="31" t="inlineStr">
        <is>
          <t>HIỆU SUẤT</t>
        </is>
      </c>
      <c r="C6" s="32" t="n">
        <v>0.7</v>
      </c>
      <c r="D6" s="33" t="n"/>
      <c r="E6" s="33" t="n"/>
      <c r="F6" s="33" t="n"/>
      <c r="G6" s="33" t="n"/>
      <c r="H6" s="34" t="n"/>
      <c r="I6" s="34" t="n"/>
      <c r="J6" s="33" t="n"/>
    </row>
    <row r="7">
      <c r="A7" s="35" t="inlineStr">
        <is>
          <t>1.</t>
        </is>
      </c>
      <c r="B7" s="36" t="inlineStr">
        <is>
          <t>Công tác tuyển dụng:</t>
        </is>
      </c>
      <c r="C7" s="37" t="n"/>
      <c r="D7" s="37" t="n"/>
      <c r="E7" s="37" t="n"/>
      <c r="F7" s="37" t="n"/>
      <c r="G7" s="37" t="n"/>
      <c r="H7" s="38" t="n"/>
      <c r="I7" s="38" t="n"/>
      <c r="J7" s="37" t="n"/>
    </row>
    <row r="8">
      <c r="A8" s="39" t="inlineStr">
        <is>
          <t>1.1</t>
        </is>
      </c>
      <c r="B8" s="37" t="inlineStr">
        <is>
          <t>…........</t>
        </is>
      </c>
      <c r="C8" s="37" t="n"/>
      <c r="D8" s="37" t="n"/>
      <c r="E8" s="37" t="n"/>
      <c r="F8" s="37" t="n"/>
      <c r="G8" s="37" t="n"/>
      <c r="H8" s="38" t="n"/>
      <c r="I8" s="38" t="n"/>
      <c r="J8" s="37" t="n"/>
    </row>
    <row r="9">
      <c r="A9" s="39" t="inlineStr">
        <is>
          <t>1.2</t>
        </is>
      </c>
      <c r="B9" s="37" t="inlineStr">
        <is>
          <t>…........</t>
        </is>
      </c>
      <c r="C9" s="37" t="n"/>
      <c r="D9" s="37" t="n"/>
      <c r="E9" s="37" t="n"/>
      <c r="F9" s="37" t="n"/>
      <c r="G9" s="37" t="n"/>
      <c r="H9" s="38" t="n"/>
      <c r="I9" s="38" t="n"/>
      <c r="J9" s="37" t="n"/>
    </row>
    <row r="10">
      <c r="A10" s="35" t="inlineStr">
        <is>
          <t>2.</t>
        </is>
      </c>
      <c r="B10" s="36" t="inlineStr">
        <is>
          <t>Công tác C&amp;B</t>
        </is>
      </c>
      <c r="C10" s="37" t="n"/>
      <c r="D10" s="37" t="n"/>
      <c r="E10" s="37" t="n"/>
      <c r="F10" s="37" t="n"/>
      <c r="G10" s="37" t="n"/>
      <c r="H10" s="38" t="n"/>
      <c r="I10" s="38" t="n"/>
      <c r="J10" s="37" t="n"/>
    </row>
    <row r="11">
      <c r="A11" s="39" t="inlineStr">
        <is>
          <t>2.1</t>
        </is>
      </c>
      <c r="B11" s="37" t="inlineStr">
        <is>
          <t>…........</t>
        </is>
      </c>
      <c r="C11" s="37" t="n"/>
      <c r="D11" s="37" t="n"/>
      <c r="E11" s="37" t="n"/>
      <c r="F11" s="37" t="n"/>
      <c r="G11" s="37" t="n"/>
      <c r="H11" s="38" t="n"/>
      <c r="I11" s="38" t="n"/>
      <c r="J11" s="37" t="n"/>
    </row>
    <row r="12">
      <c r="A12" s="39" t="inlineStr">
        <is>
          <t>2.2</t>
        </is>
      </c>
      <c r="B12" s="37" t="inlineStr">
        <is>
          <t>…........</t>
        </is>
      </c>
      <c r="C12" s="37" t="n"/>
      <c r="D12" s="37" t="n"/>
      <c r="E12" s="37" t="n"/>
      <c r="F12" s="37" t="n"/>
      <c r="G12" s="37" t="n"/>
      <c r="H12" s="38" t="n"/>
      <c r="I12" s="38" t="n"/>
      <c r="J12" s="37" t="n"/>
    </row>
    <row r="13">
      <c r="A13" s="39" t="n"/>
      <c r="B13" s="37" t="n"/>
      <c r="C13" s="37" t="n"/>
      <c r="D13" s="37" t="n"/>
      <c r="E13" s="37" t="n"/>
      <c r="F13" s="37" t="n"/>
      <c r="G13" s="37" t="n"/>
      <c r="H13" s="38" t="n"/>
      <c r="I13" s="38" t="n"/>
      <c r="J13" s="37" t="n"/>
    </row>
    <row r="14">
      <c r="A14" s="30" t="inlineStr">
        <is>
          <t>B</t>
        </is>
      </c>
      <c r="B14" s="31" t="inlineStr">
        <is>
          <t>HÀNH VI</t>
        </is>
      </c>
      <c r="C14" s="33" t="n"/>
      <c r="D14" s="33" t="n"/>
      <c r="E14" s="33" t="n"/>
      <c r="F14" s="33" t="n"/>
      <c r="G14" s="33" t="n"/>
      <c r="H14" s="34" t="n"/>
      <c r="I14" s="34" t="n"/>
      <c r="J14" s="33" t="n"/>
    </row>
    <row r="15">
      <c r="A15" s="39" t="inlineStr">
        <is>
          <t>1.</t>
        </is>
      </c>
      <c r="B15" s="37" t="inlineStr">
        <is>
          <t>Số lần đi làm muộn trong tháng</t>
        </is>
      </c>
      <c r="C15" s="37" t="n"/>
      <c r="D15" s="37" t="n"/>
      <c r="E15" s="37" t="n"/>
      <c r="F15" s="37" t="n"/>
      <c r="G15" s="37" t="n"/>
      <c r="H15" s="38" t="n"/>
      <c r="I15" s="38" t="n"/>
      <c r="J15" s="37" t="n"/>
    </row>
    <row r="16">
      <c r="A16" s="39" t="inlineStr">
        <is>
          <t>2.</t>
        </is>
      </c>
      <c r="B16" s="37" t="inlineStr">
        <is>
          <t>Vệ sinh nơi làm việc đúng quy định</t>
        </is>
      </c>
      <c r="C16" s="37" t="n"/>
      <c r="D16" s="37" t="n"/>
      <c r="E16" s="37" t="n"/>
      <c r="F16" s="37" t="n"/>
      <c r="G16" s="37" t="n"/>
      <c r="H16" s="38" t="n"/>
      <c r="I16" s="38" t="n"/>
      <c r="J16" s="37" t="n"/>
    </row>
    <row r="17">
      <c r="A17" s="39" t="inlineStr">
        <is>
          <t>3.</t>
        </is>
      </c>
      <c r="B17" s="37" t="inlineStr">
        <is>
          <t>Trang phục đúng nội quy</t>
        </is>
      </c>
      <c r="C17" s="37" t="n"/>
      <c r="D17" s="37" t="n"/>
      <c r="E17" s="37" t="n"/>
      <c r="F17" s="37" t="n"/>
      <c r="G17" s="37" t="n"/>
      <c r="H17" s="38" t="n"/>
      <c r="I17" s="38" t="n"/>
      <c r="J17" s="37" t="n"/>
    </row>
    <row r="18">
      <c r="A18" s="39" t="inlineStr">
        <is>
          <t>4.</t>
        </is>
      </c>
      <c r="B18" s="37" t="inlineStr">
        <is>
          <t>Thái độ làm việc…..</t>
        </is>
      </c>
      <c r="C18" s="37" t="n"/>
      <c r="D18" s="37" t="n"/>
      <c r="E18" s="37" t="n"/>
      <c r="F18" s="37" t="n"/>
      <c r="G18" s="37" t="n"/>
      <c r="H18" s="38" t="n"/>
      <c r="I18" s="38" t="n"/>
      <c r="J18" s="37" t="n"/>
    </row>
    <row r="19">
      <c r="A19" s="39" t="n"/>
      <c r="B19" s="37" t="n"/>
      <c r="C19" s="37" t="n"/>
      <c r="D19" s="37" t="n"/>
      <c r="E19" s="37" t="n"/>
      <c r="F19" s="37" t="n"/>
      <c r="G19" s="37" t="n"/>
      <c r="H19" s="38" t="n"/>
      <c r="I19" s="38" t="n"/>
      <c r="J19" s="37" t="n"/>
    </row>
    <row r="20">
      <c r="A20" s="39" t="n"/>
      <c r="B20" s="37" t="n"/>
      <c r="C20" s="37" t="n"/>
      <c r="D20" s="37" t="n"/>
      <c r="E20" s="37" t="n"/>
      <c r="F20" s="37" t="n"/>
      <c r="G20" s="37" t="n"/>
      <c r="H20" s="38" t="n"/>
      <c r="I20" s="38" t="n"/>
      <c r="J20" s="37" t="n"/>
    </row>
  </sheetData>
  <mergeCells count="11">
    <mergeCell ref="A1:J1"/>
    <mergeCell ref="E4:F4"/>
    <mergeCell ref="B4:B5"/>
    <mergeCell ref="C4:C5"/>
    <mergeCell ref="A4:A5"/>
    <mergeCell ref="G4:G5"/>
    <mergeCell ref="D4:D5"/>
    <mergeCell ref="J4:J5"/>
    <mergeCell ref="A3:J3"/>
    <mergeCell ref="H4:I4"/>
    <mergeCell ref="A2:J2"/>
  </mergeCells>
  <pageMargins left="0.7" right="0.7" top="0.75" bottom="0.75" header="0.3" footer="0.3"/>
  <pageSetup orientation="portrait" paperSize="1"/>
</worksheet>
</file>

<file path=xl/worksheets/sheet9.xml><?xml version="1.0" encoding="utf-8"?>
<worksheet xmlns="http://schemas.openxmlformats.org/spreadsheetml/2006/main">
  <sheetPr>
    <outlinePr summaryBelow="1" summaryRight="1"/>
    <pageSetUpPr/>
  </sheetPr>
  <dimension ref="A1:F28"/>
  <sheetViews>
    <sheetView showGridLines="0" topLeftCell="A12" workbookViewId="0">
      <selection activeCell="E1" sqref="E$1:E$1048576"/>
    </sheetView>
  </sheetViews>
  <sheetFormatPr baseColWidth="8" defaultColWidth="9.142857142857141" defaultRowHeight="15"/>
  <cols>
    <col width="8.28571428571429" customWidth="1" style="8" min="1" max="1"/>
    <col width="28.1428571428571" customWidth="1" style="8" min="2" max="2"/>
    <col width="33.4285714285714" customWidth="1" style="8" min="3" max="6"/>
    <col width="24.2857142857143" customWidth="1" style="8" min="7" max="7"/>
    <col width="9.142857142857141" customWidth="1" style="8" min="8" max="16384"/>
  </cols>
  <sheetData>
    <row r="1" ht="15.6" customFormat="1" customHeight="1" s="5">
      <c r="A1" s="9" t="n"/>
      <c r="B1" s="10" t="inlineStr">
        <is>
          <t>Mục đích</t>
        </is>
      </c>
    </row>
    <row r="2">
      <c r="A2" s="8" t="inlineStr">
        <is>
          <t>-</t>
        </is>
      </c>
      <c r="B2" s="11" t="inlineStr">
        <is>
          <t>Theo tháng: Lên được số liệu 1 tháng, để có góc nhìn về khối lượng công việc so với thời gian thực hiện công việc/1 người</t>
        </is>
      </c>
    </row>
    <row r="3">
      <c r="A3" s="8" t="inlineStr">
        <is>
          <t>-</t>
        </is>
      </c>
      <c r="B3" s="11" t="inlineStr">
        <is>
          <t>Theo quý: Lên được số liệu trung bình của 3 tháng, để đánh giá việc dùng người và giữ người</t>
        </is>
      </c>
    </row>
    <row r="4">
      <c r="A4" s="8" t="inlineStr">
        <is>
          <t>-</t>
        </is>
      </c>
      <c r="B4" s="11" t="inlineStr">
        <is>
          <t>Theo năm: Lên được số liệu trung bình năm, để lấy số liệu tính hệ số thưởng tết Âm lịch</t>
        </is>
      </c>
    </row>
    <row r="5" ht="15.6" customFormat="1" customHeight="1" s="5">
      <c r="A5" s="9" t="inlineStr">
        <is>
          <t>A.</t>
        </is>
      </c>
      <c r="B5" s="10" t="inlineStr">
        <is>
          <t>Điểm đánh giá hiệu suất</t>
        </is>
      </c>
    </row>
    <row r="6" customFormat="1" s="6">
      <c r="A6" s="12" t="inlineStr">
        <is>
          <t>I.</t>
        </is>
      </c>
      <c r="B6" s="6" t="inlineStr">
        <is>
          <t>Điểm hoàn thành (tức kế hoạch đề ra)</t>
        </is>
      </c>
    </row>
    <row r="7" ht="15.6" customFormat="1" customHeight="1" s="7">
      <c r="A7" s="12" t="n"/>
      <c r="B7" s="7" t="inlineStr">
        <is>
          <t>Khi hoàn thành đúng chất lượng, không vi phạm lỗi, đạt kết quả đúng quy định</t>
        </is>
      </c>
    </row>
    <row r="8" ht="15.6" customFormat="1" customHeight="1" s="7">
      <c r="A8" s="12" t="inlineStr">
        <is>
          <t>-</t>
        </is>
      </c>
      <c r="B8" s="7" t="inlineStr">
        <is>
          <t>Đối với các mục công việc không đo được bằng số lượng (đo bằng chất lượng và thời hạn): thì kế hoạch hoàn thành sẽ là 10 điểm tức 100%</t>
        </is>
      </c>
    </row>
    <row r="9" ht="15.6" customFormat="1" customHeight="1" s="7">
      <c r="A9" s="12" t="inlineStr">
        <is>
          <t>-</t>
        </is>
      </c>
      <c r="B9" s="13" t="inlineStr">
        <is>
          <t>Đối với các mục công việc đo bằng số lượng: thì kế hoạch hoàn thành sẽ là số lượng đề ra ban đầu</t>
        </is>
      </c>
    </row>
    <row r="10" customFormat="1" s="6">
      <c r="A10" s="12" t="inlineStr">
        <is>
          <t>II.</t>
        </is>
      </c>
      <c r="B10" s="6" t="inlineStr">
        <is>
          <t>Điểm trừ</t>
        </is>
      </c>
    </row>
    <row r="11">
      <c r="A11" s="8" t="inlineStr">
        <is>
          <t>-</t>
        </is>
      </c>
      <c r="B11" s="11" t="inlineStr">
        <is>
          <t>Hoàn thành công việc nhưng phạm lỗi</t>
        </is>
      </c>
    </row>
    <row r="12">
      <c r="A12" s="8" t="inlineStr">
        <is>
          <t>+</t>
        </is>
      </c>
      <c r="B12" s="11" t="inlineStr">
        <is>
          <t xml:space="preserve">Đối với các mục công việc không đo được bằng số lượng thì NQL khi giao chỉ tiêu sẽ phải kèm theo mô tả thước đo chỉ tiêu điểm cộng và điểm trừ </t>
        </is>
      </c>
    </row>
    <row r="13">
      <c r="A13" s="8" t="inlineStr">
        <is>
          <t>-</t>
        </is>
      </c>
      <c r="B13" s="11" t="inlineStr">
        <is>
          <t>Không hoàn thành công việc theo kế hoạch đề ra</t>
        </is>
      </c>
    </row>
    <row r="14" ht="15.6" customHeight="1">
      <c r="A14" s="8" t="inlineStr">
        <is>
          <t>+</t>
        </is>
      </c>
      <c r="B14" s="7" t="inlineStr">
        <is>
          <t>Đối với các mục công việc không đo được bằng số lượng (đo bằng chất lượng và thời hạn): thì không được tính điểm (trừ các TH đc xét duyệt do các yếu tố khác)</t>
        </is>
      </c>
    </row>
    <row r="15">
      <c r="A15" s="294" t="inlineStr">
        <is>
          <t>-</t>
        </is>
      </c>
      <c r="B15" s="11" t="inlineStr">
        <is>
          <t>Kỷ luật lao động</t>
        </is>
      </c>
    </row>
    <row r="17" ht="15.6" customFormat="1" customHeight="1" s="5">
      <c r="A17" s="9" t="inlineStr">
        <is>
          <t>B.</t>
        </is>
      </c>
      <c r="B17" s="10" t="inlineStr">
        <is>
          <t>Điểm đánh giá tinh thần và trách nhiệm</t>
        </is>
      </c>
    </row>
    <row r="18">
      <c r="A18" s="14" t="inlineStr">
        <is>
          <t>STT</t>
        </is>
      </c>
      <c r="B18" s="14" t="inlineStr">
        <is>
          <t>Đầu mục đánh giá</t>
        </is>
      </c>
      <c r="C18" s="14" t="inlineStr">
        <is>
          <t>Đánh giá điểm</t>
        </is>
      </c>
      <c r="D18" s="15" t="n"/>
      <c r="E18" s="15" t="n"/>
      <c r="F18" s="16" t="n"/>
    </row>
    <row r="19">
      <c r="A19" s="17" t="n"/>
      <c r="B19" s="17" t="n"/>
      <c r="C19" s="14" t="inlineStr">
        <is>
          <t>0 điểm</t>
        </is>
      </c>
      <c r="D19" s="14" t="inlineStr">
        <is>
          <t>1-5 điểm</t>
        </is>
      </c>
      <c r="E19" s="14" t="inlineStr">
        <is>
          <t>6-9 điểm</t>
        </is>
      </c>
      <c r="F19" s="14" t="inlineStr">
        <is>
          <t>10 điểm</t>
        </is>
      </c>
    </row>
    <row r="20" ht="140.1" customHeight="1">
      <c r="A20" s="18" t="n">
        <v>1</v>
      </c>
      <c r="B20" s="19" t="inlineStr">
        <is>
          <t>Chủ động trong công việc</t>
        </is>
      </c>
      <c r="C20" s="295" t="inlineStr">
        <is>
          <t>- Chưa chủ động lập kế hoạch công việc, chưa có trách nhiệm với công việc cá nhân
- Chưa gắn công việc cá nhân với lợi ích của nhóm, bộ phận và công ty. 
- Gây mâu thuẫn cá nhân, gây căng thẳng cho đồng nghiệp và không chủ động giải quyết mâu thuẫn, căng thẳng</t>
        </is>
      </c>
      <c r="D20" s="295" t="inlineStr">
        <is>
          <t>- Cần có sự hỗ trợ để lập kế hoạch công việc nhưng có trách nhiệm với công việc cá nhân.
- Chưa thực sự gắn công việc cá nhân với lợi ích của nhóm, bộ phận và công ty. 
- Có thể gây mâu thuẫn cá nhân, gây căng thẳng cho đồng nghiệp và không chủ động giải quyết mâu thuẫn, căng thẳn</t>
        </is>
      </c>
      <c r="E20" s="295" t="inlineStr">
        <is>
          <t>- Chủ động lập kế hoạch công việc.
- Chưa thực sự gắn lợi ích cá nhân với công việc nhóm.
- Có thể gây mâu thuẫn cá nhân, gây căng thẳng cho đồng nghiệp nhưng chủ động và có phương án giải quyết</t>
        </is>
      </c>
      <c r="F20" s="295" t="inlineStr">
        <is>
          <t>- Chủ động lập kế hoạch công việc.
- Có trách nhiệm với công việc cá nhân, lợi ích nhóm.
- Không gây mâu thuẫn cá nhân, không gây căng thẳng cho đồng nghiệp.</t>
        </is>
      </c>
    </row>
    <row r="21" ht="98.09999999999999" customHeight="1">
      <c r="A21" s="18" t="n">
        <v>2</v>
      </c>
      <c r="B21" s="19" t="inlineStr">
        <is>
          <t>Phối hợp trong công việc</t>
        </is>
      </c>
      <c r="C21" s="295" t="inlineStr">
        <is>
          <t>- Không phối hợp với các thành viên trong bộ phận và Công ty.
- Chưa tích cực giải quyết các vấn đề phát sinh bằng cách chủ động liên hệ trao đổi với các bên liên quan.
- Chưa chia sẻ kinh nghiệm và khuyến khích việc chia sẻ chuyên môn</t>
        </is>
      </c>
      <c r="D21" s="295" t="inlineStr">
        <is>
          <t>- Phối hợp với các thành viên trong bộ phận và Công ty.
- Chưa tích cực giải quyết các vấn đề phát sinh bằng cách chủ động liên hệ trao đổi với các bên liên quan.
- Chưa chia sẻ kinh nghiệm và khuyến khích việc chia sẻ chuyên môn</t>
        </is>
      </c>
      <c r="E21" s="295" t="inlineStr">
        <is>
          <t>- Phối hợp với các thành viên trong bộ phận và Công ty.
- Chưa tích cực giải quyết các vấn đề phát sinh bằng cách chủ động liên hệ trao đổi với các bên liên quan.
- Chia sẻ kinh nghiệm và khuyến khích việc chia sẻ chuyên môn</t>
        </is>
      </c>
      <c r="F21" s="295" t="inlineStr">
        <is>
          <t>- Phối hợp với các thành viên trong bộ phận và Công ty.
- Giải quyết các vấn đề phát sinh bằng cách chủ động liên hệ trao đổi với các bên liên quan.
- Chia sẻ kinh nghiệm và khuyến khích việc chia sẻ chuyên môn</t>
        </is>
      </c>
    </row>
    <row r="22" ht="56.1" customHeight="1">
      <c r="A22" s="18" t="n">
        <v>3</v>
      </c>
      <c r="B22" s="19" t="inlineStr">
        <is>
          <t>Tuân thủ kỷ luật trong công việc, chấp hành yêu cầu cấp trên và các quy định nội quy của Công ty</t>
        </is>
      </c>
      <c r="C22" s="295" t="inlineStr">
        <is>
          <t>- Vi phạm nghiêm trọng quy định, quy chế của phòng, công ty gây hậu quả xấu hoặc chống đối lại trưởng nhóm, trưởng bộ phận.</t>
        </is>
      </c>
      <c r="D22" s="295" t="inlineStr">
        <is>
          <t>- Không vi phạm nghiêm trọng quy định, quy chế của phòng và Công ty.
- Chưa tuân thủ hợp lý yêu cầu của trưởng nhóm, trưởng bộ phận.</t>
        </is>
      </c>
      <c r="E22" s="16" t="n"/>
      <c r="F22" s="295" t="inlineStr">
        <is>
          <t>- Không vi phạm nghiêm trọng quy định, quy chế của phòng và Công ty.
- Tuân thủ hợp lý yêu cầu của trưởng nhóm, trưởng bộ phận.</t>
        </is>
      </c>
    </row>
    <row r="24" ht="15.6" customFormat="1" customHeight="1" s="5">
      <c r="A24" s="9" t="inlineStr">
        <is>
          <t>C.</t>
        </is>
      </c>
      <c r="B24" s="10" t="inlineStr">
        <is>
          <t>Điểm đánh giá kỷ luật</t>
        </is>
      </c>
    </row>
    <row r="25">
      <c r="A25" s="294" t="inlineStr">
        <is>
          <t>-</t>
        </is>
      </c>
      <c r="B25" s="11" t="inlineStr">
        <is>
          <t>Đi muộn về sớm: trừ .... điểm/1 lần</t>
        </is>
      </c>
    </row>
    <row r="26">
      <c r="A26" s="294" t="inlineStr">
        <is>
          <t>-</t>
        </is>
      </c>
      <c r="B26" s="11" t="inlineStr">
        <is>
          <t>Quên chấm công: trừ .... điểm/1 lần</t>
        </is>
      </c>
    </row>
    <row r="27">
      <c r="A27" s="294" t="inlineStr">
        <is>
          <t>-</t>
        </is>
      </c>
      <c r="B27" s="11" t="inlineStr">
        <is>
          <t>Nghỉ không phép (tức không báo tới TBP): trừ ..... điểm/1 lần</t>
        </is>
      </c>
    </row>
    <row r="28">
      <c r="A28" s="294" t="inlineStr">
        <is>
          <t>-</t>
        </is>
      </c>
      <c r="B28" s="11" t="inlineStr">
        <is>
          <t>Xanh-Sạch-Đẹp:</t>
        </is>
      </c>
    </row>
  </sheetData>
  <sheetProtection selectLockedCells="0" selectUnlockedCells="0" sheet="1" objects="1" insertRows="1" insertHyperlinks="1" autoFilter="1" scenarios="1" formatColumns="1" deleteColumns="1" insertColumns="1" pivotTables="1" deleteRows="1" formatCells="1" formatRows="1" sort="1"/>
  <mergeCells count="4">
    <mergeCell ref="B18:B19"/>
    <mergeCell ref="A18:A19"/>
    <mergeCell ref="C18:F18"/>
    <mergeCell ref="D22:E22"/>
  </mergeCells>
  <pageMargins left="0.7" right="0.7" top="0.75" bottom="0.75" header="0.3" footer="0.3"/>
  <pageSetup orientation="portrait" paperSize="1"/>
</worksheet>
</file>

<file path=xl/worksheets/sheet10.xml><?xml version="1.0" encoding="utf-8"?>
<worksheet xmlns="http://schemas.openxmlformats.org/spreadsheetml/2006/main">
  <sheetPr>
    <outlinePr summaryBelow="1" summaryRight="1"/>
    <pageSetUpPr/>
  </sheetPr>
  <dimension ref="A1:F5"/>
  <sheetViews>
    <sheetView tabSelected="1" workbookViewId="0">
      <pane ySplit="2" topLeftCell="A3" activePane="bottomLeft" state="frozen"/>
      <selection pane="bottomLeft" activeCell="A1" sqref="A1"/>
      <selection pane="bottomLeft" activeCell="F7" sqref="F7"/>
    </sheetView>
  </sheetViews>
  <sheetFormatPr baseColWidth="8" defaultColWidth="9" defaultRowHeight="15" outlineLevelRow="4"/>
  <cols>
    <col width="18" customWidth="1" min="1" max="1"/>
    <col width="42" customWidth="1" min="2" max="2"/>
    <col width="18" customWidth="1" min="3" max="4"/>
    <col width="18" customWidth="1" min="4" max="4"/>
    <col width="16" customWidth="1" min="5" max="5"/>
    <col width="34" customWidth="1" min="6" max="6"/>
  </cols>
  <sheetData>
    <row r="1">
      <c r="A1" t="inlineStr">
        <is>
          <t>Điền 1 mã Jira trên mỗi dòng. Loại kế hoạch: Cam kết | Phát sinh | Ngoài phạm vi</t>
        </is>
      </c>
    </row>
    <row r="2">
      <c r="A2" s="313" t="inlineStr">
        <is>
          <t>Mã Jira</t>
        </is>
      </c>
      <c r="B2" s="313" t="inlineStr">
        <is>
          <t>Tên công việc</t>
        </is>
      </c>
      <c r="C2" s="313" t="inlineStr">
        <is>
          <t>Loại kế hoạch</t>
        </is>
      </c>
      <c r="D2" s="313" t="inlineStr">
        <is>
          <t>Hạn dự kiến</t>
        </is>
      </c>
      <c r="E2" s="313" t="inlineStr">
        <is>
          <t>Điểm khối lượng</t>
        </is>
      </c>
      <c r="F2" s="313" t="inlineStr">
        <is>
          <t>Ghi chú / lý do loại trừ</t>
        </is>
      </c>
    </row>
    <row r="3" ht="30" customHeight="1">
      <c r="A3" s="2" t="n"/>
      <c r="B3" s="2" t="n"/>
      <c r="D3" s="314" t="n"/>
    </row>
    <row r="4" ht="30" customHeight="1">
      <c r="A4" s="2" t="n"/>
      <c r="B4" s="2" t="n"/>
      <c r="C4" s="4" t="n"/>
      <c r="D4" s="314" t="n"/>
    </row>
    <row r="5" ht="28.5" customHeight="1">
      <c r="A5" s="4" t="n"/>
      <c r="B5" s="2" t="n"/>
      <c r="D5" s="314" t="n"/>
    </row>
  </sheetData>
  <dataValidations count="1">
    <dataValidation sqref="C3:C300" showDropDown="0" showInputMessage="0" showErrorMessage="0" allowBlank="1" type="list">
      <formula1>"Cam kết,Phát sinh,Ngoài phạm vi"</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Admin</dc:creator>
  <dcterms:created xsi:type="dcterms:W3CDTF">2024-03-02T08:27:00Z</dcterms:created>
  <dcterms:modified xsi:type="dcterms:W3CDTF">2026-07-31T04:02:36Z</dcterms:modified>
  <cp:lastModifiedBy>WPS_1784623797</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2C62652BA7C445CC851592D450BDC85E_12</vt:lpwstr>
  </property>
  <property name="KSOProductBuildVer" fmtid="{D5CDD505-2E9C-101B-9397-08002B2CF9AE}" pid="3">
    <vt:lpwstr>1033-12.1.0.27458</vt:lpwstr>
  </property>
  <property name="CalculationRule" fmtid="{D5CDD505-2E9C-101B-9397-08002B2CF9AE}" pid="4">
    <vt:i4>0</vt:i4>
  </property>
</Properties>
</file>